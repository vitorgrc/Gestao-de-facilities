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24a4e3d3d1b5489/Desktop/Inconfidência/ddos meteorlógicos/"/>
    </mc:Choice>
  </mc:AlternateContent>
  <xr:revisionPtr revIDLastSave="40" documentId="11_A507D950287634A74B8E1EF36E5F1DF7671C275C" xr6:coauthVersionLast="47" xr6:coauthVersionMax="47" xr10:uidLastSave="{A9662398-22A5-46CE-B020-5E77C722A153}"/>
  <bookViews>
    <workbookView xWindow="-108" yWindow="-108" windowWidth="23256" windowHeight="12456" tabRatio="500" xr2:uid="{00000000-000D-0000-FFFF-FFFF00000000}"/>
  </bookViews>
  <sheets>
    <sheet name="Porto Alegre (A801)" sheetId="1" r:id="rId1"/>
    <sheet name="Planilha1" sheetId="2" r:id="rId2"/>
  </sheets>
  <definedNames>
    <definedName name="_xlnm._FilterDatabase" localSheetId="0" hidden="1">'Porto Alegre (A801)'!$B$12:$I$54</definedName>
  </definedNames>
  <calcPr calcId="191029" iterateDelta="1E-4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4" i="1" l="1"/>
  <c r="E54" i="1" s="1"/>
  <c r="J25" i="1"/>
  <c r="E25" i="1" s="1"/>
  <c r="J26" i="1"/>
  <c r="E26" i="1" s="1"/>
  <c r="J27" i="1"/>
  <c r="E27" i="1" s="1"/>
  <c r="J28" i="1"/>
  <c r="E28" i="1" s="1"/>
  <c r="J29" i="1"/>
  <c r="E29" i="1" s="1"/>
  <c r="J30" i="1"/>
  <c r="E30" i="1" s="1"/>
  <c r="J31" i="1"/>
  <c r="E31" i="1" s="1"/>
  <c r="J32" i="1"/>
  <c r="E32" i="1" s="1"/>
  <c r="J33" i="1"/>
  <c r="E33" i="1" s="1"/>
  <c r="J34" i="1"/>
  <c r="E34" i="1" s="1"/>
  <c r="J35" i="1"/>
  <c r="E35" i="1" s="1"/>
  <c r="J36" i="1"/>
  <c r="E36" i="1" s="1"/>
  <c r="J37" i="1"/>
  <c r="E37" i="1" s="1"/>
  <c r="J38" i="1"/>
  <c r="E38" i="1" s="1"/>
  <c r="J39" i="1"/>
  <c r="E39" i="1" s="1"/>
  <c r="J40" i="1"/>
  <c r="E40" i="1" s="1"/>
  <c r="J41" i="1"/>
  <c r="E41" i="1" s="1"/>
  <c r="J42" i="1"/>
  <c r="E42" i="1" s="1"/>
  <c r="J43" i="1"/>
  <c r="E43" i="1" s="1"/>
  <c r="J44" i="1"/>
  <c r="E44" i="1" s="1"/>
  <c r="J45" i="1"/>
  <c r="E45" i="1" s="1"/>
  <c r="J46" i="1"/>
  <c r="E46" i="1" s="1"/>
  <c r="J47" i="1"/>
  <c r="E47" i="1" s="1"/>
  <c r="J48" i="1"/>
  <c r="E48" i="1" s="1"/>
  <c r="J49" i="1"/>
  <c r="E49" i="1" s="1"/>
  <c r="J50" i="1"/>
  <c r="E50" i="1" s="1"/>
  <c r="J51" i="1"/>
  <c r="E51" i="1" s="1"/>
  <c r="J52" i="1"/>
  <c r="E52" i="1" s="1"/>
  <c r="J53" i="1"/>
  <c r="E53" i="1" s="1"/>
  <c r="J14" i="1"/>
  <c r="E14" i="1" s="1"/>
  <c r="J15" i="1"/>
  <c r="E15" i="1" s="1"/>
  <c r="J16" i="1"/>
  <c r="E16" i="1" s="1"/>
  <c r="J17" i="1"/>
  <c r="E17" i="1" s="1"/>
  <c r="J18" i="1"/>
  <c r="E18" i="1" s="1"/>
  <c r="J19" i="1"/>
  <c r="E19" i="1" s="1"/>
  <c r="J20" i="1"/>
  <c r="E20" i="1" s="1"/>
  <c r="J21" i="1"/>
  <c r="E21" i="1" s="1"/>
  <c r="J22" i="1"/>
  <c r="E22" i="1" s="1"/>
  <c r="J23" i="1"/>
  <c r="E23" i="1" s="1"/>
  <c r="J24" i="1"/>
  <c r="E24" i="1" s="1"/>
  <c r="J13" i="1"/>
  <c r="E13" i="1" s="1"/>
</calcChain>
</file>

<file path=xl/sharedStrings.xml><?xml version="1.0" encoding="utf-8"?>
<sst xmlns="http://schemas.openxmlformats.org/spreadsheetml/2006/main" count="50" uniqueCount="49">
  <si>
    <t>Metadados da Estação</t>
  </si>
  <si>
    <t>Nome</t>
  </si>
  <si>
    <t>PORTO ALEGRE - JARDIM BOTANICO</t>
  </si>
  <si>
    <t>Codigo Estacao</t>
  </si>
  <si>
    <t>A801</t>
  </si>
  <si>
    <t>Latitude</t>
  </si>
  <si>
    <t>-30.05361111</t>
  </si>
  <si>
    <t>Longitude</t>
  </si>
  <si>
    <t>-51.17472221</t>
  </si>
  <si>
    <t>Altitude</t>
  </si>
  <si>
    <t>41.18</t>
  </si>
  <si>
    <t>Situacao</t>
  </si>
  <si>
    <t>Operante</t>
  </si>
  <si>
    <t>Data Inicial</t>
  </si>
  <si>
    <t>2023-01-01</t>
  </si>
  <si>
    <t>Data Final</t>
  </si>
  <si>
    <t>2026-07-31</t>
  </si>
  <si>
    <t>Periodicidade da Medicao</t>
  </si>
  <si>
    <t>Mensal</t>
  </si>
  <si>
    <t>Data Medicao</t>
  </si>
  <si>
    <t>Dias com Precipitacao (num)</t>
  </si>
  <si>
    <t>Precipitacao Total Mensal (mm)</t>
  </si>
  <si>
    <t>Pressao Atmosferica Media Mensal (mB)</t>
  </si>
  <si>
    <t>Temperatura Media Mensal (C)</t>
  </si>
  <si>
    <t>Vento Velocidade Maxima Mensal (m/s)</t>
  </si>
  <si>
    <t>Vento Velocidade Media Mensal (m/s)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</si>
  <si>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</si>
  <si>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</si>
  <si>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</si>
  <si>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</si>
  <si>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</si>
  <si>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</si>
  <si>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</si>
  <si>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</si>
  <si>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</si>
  <si>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</si>
  <si>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</si>
  <si>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</si>
  <si>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Ano</t>
  </si>
  <si>
    <t>Total Geral</t>
  </si>
  <si>
    <t>Total dia mês</t>
  </si>
  <si>
    <t>Dias sem precipitação</t>
  </si>
  <si>
    <t>2023</t>
  </si>
  <si>
    <t>2024</t>
  </si>
  <si>
    <t>2025</t>
  </si>
  <si>
    <t>2026</t>
  </si>
  <si>
    <t>Rótulos de Coluna</t>
  </si>
  <si>
    <t>Soma de Dias sem precipitação</t>
  </si>
  <si>
    <t>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</si>
</sst>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" fontId="0" fillId="0" borderId="0" xfId="0" applyNumberFormat="1"/>
    <xf numFmtId="2" fontId="0" fillId="0" borderId="0" xfId="0" applyNumberFormat="1"/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Dias com Precipitacao -</a:t>
            </a:r>
            <a:r>
              <a:rPr lang="en-US" baseline="0"/>
              <a:t> Região Metropolitana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'Porto Alegre (A801)'!$C$12</c:f>
              <c:strCache>
                <c:ptCount val="1"/>
                <c:pt idx="0">
                  <c:v>Dias com Precipitacao (num)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'Porto Alegre (A801)'!$A$13:$B$54</c:f>
              <c:multiLvlStrCache>
                <c:ptCount val="42"/>
                <c:lvl>
                  <c:pt idx="0">
                    <c:v>Jan-23</c:v>
                  </c:pt>
                  <c:pt idx="1">
                    <c:v>Feb-23</c:v>
                  </c:pt>
                  <c:pt idx="2">
                    <c:v>Mar-23</c:v>
                  </c:pt>
                  <c:pt idx="3">
                    <c:v>Apr-23</c:v>
                  </c:pt>
                  <c:pt idx="4">
                    <c:v>May-23</c:v>
                  </c:pt>
                  <c:pt idx="5">
                    <c:v>Jun-23</c:v>
                  </c:pt>
                  <c:pt idx="6">
                    <c:v>Jul-23</c:v>
                  </c:pt>
                  <c:pt idx="7">
                    <c:v>Aug-23</c:v>
                  </c:pt>
                  <c:pt idx="8">
                    <c:v>Sep-23</c:v>
                  </c:pt>
                  <c:pt idx="9">
                    <c:v>Oct-23</c:v>
                  </c:pt>
                  <c:pt idx="10">
                    <c:v>Nov-23</c:v>
                  </c:pt>
                  <c:pt idx="11">
                    <c:v>Dec-23</c:v>
                  </c:pt>
                  <c:pt idx="12">
                    <c:v>Jan-24</c:v>
                  </c:pt>
                  <c:pt idx="13">
                    <c:v>Feb-24</c:v>
                  </c:pt>
                  <c:pt idx="14">
                    <c:v>Mar-24</c:v>
                  </c:pt>
                  <c:pt idx="15">
                    <c:v>Apr-24</c:v>
                  </c:pt>
                  <c:pt idx="16">
                    <c:v>May-24</c:v>
                  </c:pt>
                  <c:pt idx="17">
                    <c:v>Jun-24</c:v>
                  </c:pt>
                  <c:pt idx="18">
                    <c:v>Jul-24</c:v>
                  </c:pt>
                  <c:pt idx="19">
                    <c:v>Aug-24</c:v>
                  </c:pt>
                  <c:pt idx="20">
                    <c:v>Sep-24</c:v>
                  </c:pt>
                  <c:pt idx="21">
                    <c:v>Oct-24</c:v>
                  </c:pt>
                  <c:pt idx="22">
                    <c:v>Nov-24</c:v>
                  </c:pt>
                  <c:pt idx="23">
                    <c:v>Dec-24</c:v>
                  </c:pt>
                  <c:pt idx="24">
                    <c:v>Jan-25</c:v>
                  </c:pt>
                  <c:pt idx="25">
                    <c:v>Feb-25</c:v>
                  </c:pt>
                  <c:pt idx="26">
                    <c:v>Mar-25</c:v>
                  </c:pt>
                  <c:pt idx="27">
                    <c:v>Apr-25</c:v>
                  </c:pt>
                  <c:pt idx="28">
                    <c:v>May-25</c:v>
                  </c:pt>
                  <c:pt idx="29">
                    <c:v>Jun-25</c:v>
                  </c:pt>
                  <c:pt idx="30">
                    <c:v>Jul-25</c:v>
                  </c:pt>
                  <c:pt idx="31">
                    <c:v>Aug-25</c:v>
                  </c:pt>
                  <c:pt idx="32">
                    <c:v>Sep-25</c:v>
                  </c:pt>
                  <c:pt idx="33">
                    <c:v>Oct-25</c:v>
                  </c:pt>
                  <c:pt idx="34">
                    <c:v>Nov-25</c:v>
                  </c:pt>
                  <c:pt idx="35">
                    <c:v>Dec-25</c:v>
                  </c:pt>
                  <c:pt idx="36">
                    <c:v>Jan-26</c:v>
                  </c:pt>
                  <c:pt idx="37">
                    <c:v>Feb-26</c:v>
                  </c:pt>
                  <c:pt idx="38">
                    <c:v>Mar-26</c:v>
                  </c:pt>
                  <c:pt idx="39">
                    <c:v>Apr-26</c:v>
                  </c:pt>
                  <c:pt idx="40">
                    <c:v>May-26</c:v>
                  </c:pt>
                  <c:pt idx="41">
                    <c:v>Jun-26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2024</c:v>
                  </c:pt>
                  <c:pt idx="14">
                    <c:v>2024</c:v>
                  </c:pt>
                  <c:pt idx="15">
                    <c:v>2024</c:v>
                  </c:pt>
                  <c:pt idx="16">
                    <c:v>2024</c:v>
                  </c:pt>
                  <c:pt idx="17">
                    <c:v>2024</c:v>
                  </c:pt>
                  <c:pt idx="18">
                    <c:v>2024</c:v>
                  </c:pt>
                  <c:pt idx="19">
                    <c:v>2024</c:v>
                  </c:pt>
                  <c:pt idx="20">
                    <c:v>2024</c:v>
                  </c:pt>
                  <c:pt idx="21">
                    <c:v>2024</c:v>
                  </c:pt>
                  <c:pt idx="22">
                    <c:v>2024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2025</c:v>
                  </c:pt>
                  <c:pt idx="26">
                    <c:v>2025</c:v>
                  </c:pt>
                  <c:pt idx="27">
                    <c:v>2025</c:v>
                  </c:pt>
                  <c:pt idx="28">
                    <c:v>2025</c:v>
                  </c:pt>
                  <c:pt idx="29">
                    <c:v>2025</c:v>
                  </c:pt>
                  <c:pt idx="30">
                    <c:v>2025</c:v>
                  </c:pt>
                  <c:pt idx="31">
                    <c:v>2025</c:v>
                  </c:pt>
                  <c:pt idx="32">
                    <c:v>2025</c:v>
                  </c:pt>
                  <c:pt idx="33">
                    <c:v>2025</c:v>
                  </c:pt>
                  <c:pt idx="34">
                    <c:v>2025</c:v>
                  </c:pt>
                  <c:pt idx="35">
                    <c:v>2025</c:v>
                  </c:pt>
                  <c:pt idx="36">
                    <c:v>2026</c:v>
                  </c:pt>
                  <c:pt idx="37">
                    <c:v>2026</c:v>
                  </c:pt>
                  <c:pt idx="38">
                    <c:v>2026</c:v>
                  </c:pt>
                  <c:pt idx="39">
                    <c:v>2026</c:v>
                  </c:pt>
                  <c:pt idx="40">
                    <c:v>2026</c:v>
                  </c:pt>
                  <c:pt idx="41">
                    <c:v>2026</c:v>
                  </c:pt>
                </c:lvl>
              </c:multiLvlStrCache>
            </c:multiLvlStrRef>
          </c:cat>
          <c:val>
            <c:numRef>
              <c:f>'Porto Alegre (A801)'!$C$13:$C$54</c:f>
              <c:numCache>
                <c:formatCode>General</c:formatCode>
                <c:ptCount val="42"/>
                <c:pt idx="0">
                  <c:v>8</c:v>
                </c:pt>
                <c:pt idx="1">
                  <c:v>11</c:v>
                </c:pt>
                <c:pt idx="2">
                  <c:v>11</c:v>
                </c:pt>
                <c:pt idx="3">
                  <c:v>7</c:v>
                </c:pt>
                <c:pt idx="4">
                  <c:v>12</c:v>
                </c:pt>
                <c:pt idx="5">
                  <c:v>15</c:v>
                </c:pt>
                <c:pt idx="6">
                  <c:v>11</c:v>
                </c:pt>
                <c:pt idx="7">
                  <c:v>9</c:v>
                </c:pt>
                <c:pt idx="8">
                  <c:v>21</c:v>
                </c:pt>
                <c:pt idx="9">
                  <c:v>14</c:v>
                </c:pt>
                <c:pt idx="10">
                  <c:v>15</c:v>
                </c:pt>
                <c:pt idx="11">
                  <c:v>15</c:v>
                </c:pt>
                <c:pt idx="12">
                  <c:v>12</c:v>
                </c:pt>
                <c:pt idx="13">
                  <c:v>8</c:v>
                </c:pt>
                <c:pt idx="14">
                  <c:v>8</c:v>
                </c:pt>
                <c:pt idx="15">
                  <c:v>14</c:v>
                </c:pt>
                <c:pt idx="16">
                  <c:v>23</c:v>
                </c:pt>
                <c:pt idx="17">
                  <c:v>16</c:v>
                </c:pt>
                <c:pt idx="18">
                  <c:v>14</c:v>
                </c:pt>
                <c:pt idx="19">
                  <c:v>11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12</c:v>
                </c:pt>
                <c:pt idx="24">
                  <c:v>13</c:v>
                </c:pt>
                <c:pt idx="25">
                  <c:v>9</c:v>
                </c:pt>
                <c:pt idx="26">
                  <c:v>5</c:v>
                </c:pt>
                <c:pt idx="27">
                  <c:v>7</c:v>
                </c:pt>
                <c:pt idx="28">
                  <c:v>9</c:v>
                </c:pt>
                <c:pt idx="29">
                  <c:v>17</c:v>
                </c:pt>
                <c:pt idx="30">
                  <c:v>11</c:v>
                </c:pt>
                <c:pt idx="31">
                  <c:v>14</c:v>
                </c:pt>
                <c:pt idx="32">
                  <c:v>13</c:v>
                </c:pt>
                <c:pt idx="33">
                  <c:v>13</c:v>
                </c:pt>
                <c:pt idx="34">
                  <c:v>6</c:v>
                </c:pt>
                <c:pt idx="35">
                  <c:v>10</c:v>
                </c:pt>
                <c:pt idx="36">
                  <c:v>6</c:v>
                </c:pt>
                <c:pt idx="37">
                  <c:v>9</c:v>
                </c:pt>
                <c:pt idx="38">
                  <c:v>16</c:v>
                </c:pt>
                <c:pt idx="39">
                  <c:v>10</c:v>
                </c:pt>
                <c:pt idx="40">
                  <c:v>8</c:v>
                </c:pt>
                <c:pt idx="4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46-4206-A629-D4225BA1D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196207"/>
        <c:axId val="1545196687"/>
      </c:lineChart>
      <c:catAx>
        <c:axId val="154519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196687"/>
        <c:crosses val="autoZero"/>
        <c:auto val="1"/>
        <c:lblAlgn val="ctr"/>
        <c:lblOffset val="100"/>
        <c:noMultiLvlLbl val="0"/>
      </c:catAx>
      <c:valAx>
        <c:axId val="154519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19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Precipitacão Total Mensal (mm) - Região Metropolitana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'Porto Alegre (A801)'!$D$12</c:f>
              <c:strCache>
                <c:ptCount val="1"/>
                <c:pt idx="0">
                  <c:v>Precipitacao Total Mensal (mm)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'Porto Alegre (A801)'!$B$13:$B$54</c:f>
              <c:numCache>
                <c:formatCode>mmm\-yy</c:formatCode>
                <c:ptCount val="4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</c:numCache>
            </c:numRef>
          </c:cat>
          <c:val>
            <c:numRef>
              <c:f>'Porto Alegre (A801)'!$D$13:$D$54</c:f>
              <c:numCache>
                <c:formatCode>General</c:formatCode>
                <c:ptCount val="42"/>
                <c:pt idx="0">
                  <c:v>53.2</c:v>
                </c:pt>
                <c:pt idx="1">
                  <c:v>116.4</c:v>
                </c:pt>
                <c:pt idx="2">
                  <c:v>89.6</c:v>
                </c:pt>
                <c:pt idx="3">
                  <c:v>35.4</c:v>
                </c:pt>
                <c:pt idx="4">
                  <c:v>89.6</c:v>
                </c:pt>
                <c:pt idx="5">
                  <c:v>247.8</c:v>
                </c:pt>
                <c:pt idx="6">
                  <c:v>210.8</c:v>
                </c:pt>
                <c:pt idx="7">
                  <c:v>77</c:v>
                </c:pt>
                <c:pt idx="8">
                  <c:v>394.8</c:v>
                </c:pt>
                <c:pt idx="9">
                  <c:v>109.8</c:v>
                </c:pt>
                <c:pt idx="10">
                  <c:v>343</c:v>
                </c:pt>
                <c:pt idx="11">
                  <c:v>88.6</c:v>
                </c:pt>
                <c:pt idx="12">
                  <c:v>233.8</c:v>
                </c:pt>
                <c:pt idx="13">
                  <c:v>85.4</c:v>
                </c:pt>
                <c:pt idx="14">
                  <c:v>81.599999999999994</c:v>
                </c:pt>
                <c:pt idx="15">
                  <c:v>228.4</c:v>
                </c:pt>
                <c:pt idx="16">
                  <c:v>564.79999999999995</c:v>
                </c:pt>
                <c:pt idx="17">
                  <c:v>176.6</c:v>
                </c:pt>
                <c:pt idx="18">
                  <c:v>73.8</c:v>
                </c:pt>
                <c:pt idx="19">
                  <c:v>45.2</c:v>
                </c:pt>
                <c:pt idx="20">
                  <c:v>211.8</c:v>
                </c:pt>
                <c:pt idx="21">
                  <c:v>61.6</c:v>
                </c:pt>
                <c:pt idx="22">
                  <c:v>72.400000000000006</c:v>
                </c:pt>
                <c:pt idx="23">
                  <c:v>240.4</c:v>
                </c:pt>
                <c:pt idx="24">
                  <c:v>106.8</c:v>
                </c:pt>
                <c:pt idx="25">
                  <c:v>137.6</c:v>
                </c:pt>
                <c:pt idx="26">
                  <c:v>45.4</c:v>
                </c:pt>
                <c:pt idx="27">
                  <c:v>67.8</c:v>
                </c:pt>
                <c:pt idx="28">
                  <c:v>112.5</c:v>
                </c:pt>
                <c:pt idx="29">
                  <c:v>262</c:v>
                </c:pt>
                <c:pt idx="30">
                  <c:v>91.2</c:v>
                </c:pt>
                <c:pt idx="31">
                  <c:v>211.6</c:v>
                </c:pt>
                <c:pt idx="32">
                  <c:v>197.6</c:v>
                </c:pt>
                <c:pt idx="33">
                  <c:v>124.2</c:v>
                </c:pt>
                <c:pt idx="34">
                  <c:v>50.9</c:v>
                </c:pt>
                <c:pt idx="35">
                  <c:v>149.80000000000001</c:v>
                </c:pt>
                <c:pt idx="36">
                  <c:v>81.900000000000006</c:v>
                </c:pt>
                <c:pt idx="37">
                  <c:v>40.799999999999997</c:v>
                </c:pt>
                <c:pt idx="38">
                  <c:v>107.8</c:v>
                </c:pt>
                <c:pt idx="39">
                  <c:v>90</c:v>
                </c:pt>
                <c:pt idx="40">
                  <c:v>84.2</c:v>
                </c:pt>
                <c:pt idx="41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3B-4342-94BB-7F83E52748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743880927"/>
        <c:axId val="17068139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'Porto Alegre (A801)'!$A$12</c15:sqref>
                        </c15:formulaRef>
                      </c:ext>
                    </c:extLst>
                    <c:strCache>
                      <c:ptCount val="1"/>
                      <c:pt idx="0">
                        <c:v>Ano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'Porto Alegre (A801)'!$B$13:$B$54</c15:sqref>
                        </c15:formulaRef>
                      </c:ext>
                    </c:extLst>
                    <c:numCache>
                      <c:formatCode>mmm\-yy</c:formatCode>
                      <c:ptCount val="42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  <c:pt idx="37">
                        <c:v>46054</c:v>
                      </c:pt>
                      <c:pt idx="38">
                        <c:v>46082</c:v>
                      </c:pt>
                      <c:pt idx="39">
                        <c:v>46113</c:v>
                      </c:pt>
                      <c:pt idx="40">
                        <c:v>46143</c:v>
                      </c:pt>
                      <c:pt idx="41">
                        <c:v>46174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'Porto Alegre (A801)'!$A$13:$A$54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2023</c:v>
                      </c:pt>
                      <c:pt idx="1">
                        <c:v>2023</c:v>
                      </c:pt>
                      <c:pt idx="2">
                        <c:v>2023</c:v>
                      </c:pt>
                      <c:pt idx="3">
                        <c:v>2023</c:v>
                      </c:pt>
                      <c:pt idx="4">
                        <c:v>2023</c:v>
                      </c:pt>
                      <c:pt idx="5">
                        <c:v>2023</c:v>
                      </c:pt>
                      <c:pt idx="6">
                        <c:v>2023</c:v>
                      </c:pt>
                      <c:pt idx="7">
                        <c:v>2023</c:v>
                      </c:pt>
                      <c:pt idx="8">
                        <c:v>2023</c:v>
                      </c:pt>
                      <c:pt idx="9">
                        <c:v>2023</c:v>
                      </c:pt>
                      <c:pt idx="10">
                        <c:v>2023</c:v>
                      </c:pt>
                      <c:pt idx="11">
                        <c:v>2023</c:v>
                      </c:pt>
                      <c:pt idx="12">
                        <c:v>2024</c:v>
                      </c:pt>
                      <c:pt idx="13">
                        <c:v>2024</c:v>
                      </c:pt>
                      <c:pt idx="14">
                        <c:v>2024</c:v>
                      </c:pt>
                      <c:pt idx="15">
                        <c:v>2024</c:v>
                      </c:pt>
                      <c:pt idx="16">
                        <c:v>2024</c:v>
                      </c:pt>
                      <c:pt idx="17">
                        <c:v>2024</c:v>
                      </c:pt>
                      <c:pt idx="18">
                        <c:v>2024</c:v>
                      </c:pt>
                      <c:pt idx="19">
                        <c:v>2024</c:v>
                      </c:pt>
                      <c:pt idx="20">
                        <c:v>2024</c:v>
                      </c:pt>
                      <c:pt idx="21">
                        <c:v>2024</c:v>
                      </c:pt>
                      <c:pt idx="22">
                        <c:v>2024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2025</c:v>
                      </c:pt>
                      <c:pt idx="26">
                        <c:v>2025</c:v>
                      </c:pt>
                      <c:pt idx="27">
                        <c:v>2025</c:v>
                      </c:pt>
                      <c:pt idx="28">
                        <c:v>2025</c:v>
                      </c:pt>
                      <c:pt idx="29">
                        <c:v>2025</c:v>
                      </c:pt>
                      <c:pt idx="30">
                        <c:v>2025</c:v>
                      </c:pt>
                      <c:pt idx="31">
                        <c:v>2025</c:v>
                      </c:pt>
                      <c:pt idx="32">
                        <c:v>2025</c:v>
                      </c:pt>
                      <c:pt idx="33">
                        <c:v>2025</c:v>
                      </c:pt>
                      <c:pt idx="34">
                        <c:v>2025</c:v>
                      </c:pt>
                      <c:pt idx="35">
                        <c:v>2025</c:v>
                      </c:pt>
                      <c:pt idx="36">
                        <c:v>2026</c:v>
                      </c:pt>
                      <c:pt idx="37">
                        <c:v>2026</c:v>
                      </c:pt>
                      <c:pt idx="38">
                        <c:v>2026</c:v>
                      </c:pt>
                      <c:pt idx="39">
                        <c:v>2026</c:v>
                      </c:pt>
                      <c:pt idx="40">
                        <c:v>2026</c:v>
                      </c:pt>
                      <c:pt idx="41">
                        <c:v>2026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73B-4342-94BB-7F83E527488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'Porto Alegre (A801)'!$B$12</c15:sqref>
                        </c15:formulaRef>
                      </c:ext>
                    </c:extLst>
                    <c:strCache>
                      <c:ptCount val="1"/>
                      <c:pt idx="0">
                        <c:v>Data Medicao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'Porto Alegre (A801)'!$B$13:$B$54</c15:sqref>
                        </c15:formulaRef>
                      </c:ext>
                    </c:extLst>
                    <c:numCache>
                      <c:formatCode>mmm\-yy</c:formatCode>
                      <c:ptCount val="42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  <c:pt idx="37">
                        <c:v>46054</c:v>
                      </c:pt>
                      <c:pt idx="38">
                        <c:v>46082</c:v>
                      </c:pt>
                      <c:pt idx="39">
                        <c:v>46113</c:v>
                      </c:pt>
                      <c:pt idx="40">
                        <c:v>46143</c:v>
                      </c:pt>
                      <c:pt idx="41">
                        <c:v>46174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'Porto Alegre (A801)'!$B$13:$B$54</c15:sqref>
                        </c15:formulaRef>
                      </c:ext>
                    </c:extLst>
                    <c:numCache>
                      <c:formatCode>mmm\-yy</c:formatCode>
                      <c:ptCount val="42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  <c:pt idx="37">
                        <c:v>46054</c:v>
                      </c:pt>
                      <c:pt idx="38">
                        <c:v>46082</c:v>
                      </c:pt>
                      <c:pt idx="39">
                        <c:v>46113</c:v>
                      </c:pt>
                      <c:pt idx="40">
                        <c:v>46143</c:v>
                      </c:pt>
                      <c:pt idx="41">
                        <c:v>46174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73B-4342-94BB-7F83E527488F}"/>
                  </c:ext>
                </c:extLst>
              </c15:ser>
            </c15:filteredLineSeries>
          </c:ext>
        </c:extLst>
      </c:lineChart>
      <c:dateAx>
        <c:axId val="74388092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813951"/>
        <c:crosses val="autoZero"/>
        <c:auto val="1"/>
        <c:lblOffset val="100"/>
        <c:baseTimeUnit val="months"/>
      </c:dateAx>
      <c:valAx>
        <c:axId val="17068139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388092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Temperatura Media Mensal (C) - Região</a:t>
            </a:r>
            <a:r>
              <a:rPr lang="en-US" sz="1200" b="1" baseline="0"/>
              <a:t> Metropolitana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'Porto Alegre (A801)'!$G$12</c:f>
              <c:strCache>
                <c:ptCount val="1"/>
                <c:pt idx="0">
                  <c:v>Temperatura Media Mensal (C)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'Porto Alegre (A801)'!$B$13:$B$54</c:f>
              <c:numCache>
                <c:formatCode>mmm\-yy</c:formatCode>
                <c:ptCount val="4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</c:numCache>
            </c:numRef>
          </c:cat>
          <c:val>
            <c:numRef>
              <c:f>'Porto Alegre (A801)'!$G$13:$G$54</c:f>
              <c:numCache>
                <c:formatCode>General</c:formatCode>
                <c:ptCount val="42"/>
                <c:pt idx="0">
                  <c:v>26.1</c:v>
                </c:pt>
                <c:pt idx="1">
                  <c:v>24.7</c:v>
                </c:pt>
                <c:pt idx="2">
                  <c:v>25.4</c:v>
                </c:pt>
                <c:pt idx="3">
                  <c:v>20.6</c:v>
                </c:pt>
                <c:pt idx="4">
                  <c:v>18.3</c:v>
                </c:pt>
                <c:pt idx="5">
                  <c:v>16.3</c:v>
                </c:pt>
                <c:pt idx="6">
                  <c:v>15.5</c:v>
                </c:pt>
                <c:pt idx="7">
                  <c:v>16.7</c:v>
                </c:pt>
                <c:pt idx="8">
                  <c:v>18.3</c:v>
                </c:pt>
                <c:pt idx="9">
                  <c:v>19</c:v>
                </c:pt>
                <c:pt idx="10">
                  <c:v>21.2</c:v>
                </c:pt>
                <c:pt idx="11">
                  <c:v>24.5</c:v>
                </c:pt>
                <c:pt idx="12">
                  <c:v>24.3</c:v>
                </c:pt>
                <c:pt idx="13">
                  <c:v>25.9</c:v>
                </c:pt>
                <c:pt idx="14">
                  <c:v>24.5</c:v>
                </c:pt>
                <c:pt idx="15">
                  <c:v>21.6</c:v>
                </c:pt>
                <c:pt idx="16">
                  <c:v>16.7</c:v>
                </c:pt>
                <c:pt idx="17">
                  <c:v>17.399999999999999</c:v>
                </c:pt>
                <c:pt idx="18">
                  <c:v>13.7</c:v>
                </c:pt>
                <c:pt idx="19">
                  <c:v>15.6</c:v>
                </c:pt>
                <c:pt idx="20">
                  <c:v>18.7</c:v>
                </c:pt>
                <c:pt idx="21">
                  <c:v>20.6</c:v>
                </c:pt>
                <c:pt idx="22">
                  <c:v>23.1</c:v>
                </c:pt>
                <c:pt idx="23">
                  <c:v>22.4</c:v>
                </c:pt>
                <c:pt idx="24">
                  <c:v>25</c:v>
                </c:pt>
                <c:pt idx="25">
                  <c:v>26.6</c:v>
                </c:pt>
                <c:pt idx="26">
                  <c:v>25.2</c:v>
                </c:pt>
                <c:pt idx="27">
                  <c:v>20.2</c:v>
                </c:pt>
                <c:pt idx="28">
                  <c:v>17.600000000000001</c:v>
                </c:pt>
                <c:pt idx="29">
                  <c:v>13.3</c:v>
                </c:pt>
                <c:pt idx="30">
                  <c:v>13.1</c:v>
                </c:pt>
                <c:pt idx="31">
                  <c:v>15.5</c:v>
                </c:pt>
                <c:pt idx="32">
                  <c:v>17.7</c:v>
                </c:pt>
                <c:pt idx="33">
                  <c:v>19.899999999999999</c:v>
                </c:pt>
                <c:pt idx="34">
                  <c:v>21.4</c:v>
                </c:pt>
                <c:pt idx="35">
                  <c:v>24.9</c:v>
                </c:pt>
                <c:pt idx="36">
                  <c:v>25</c:v>
                </c:pt>
                <c:pt idx="37">
                  <c:v>25.1</c:v>
                </c:pt>
                <c:pt idx="38">
                  <c:v>24.8</c:v>
                </c:pt>
                <c:pt idx="39">
                  <c:v>21.8</c:v>
                </c:pt>
                <c:pt idx="40">
                  <c:v>16.100000000000001</c:v>
                </c:pt>
                <c:pt idx="41">
                  <c:v>13.7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5-42C3-96C3-E9A7EFEDB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06822591"/>
        <c:axId val="17068259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'Porto Alegre (A801)'!$A$12</c15:sqref>
                        </c15:formulaRef>
                      </c:ext>
                    </c:extLst>
                    <c:strCache>
                      <c:ptCount val="1"/>
                      <c:pt idx="0">
                        <c:v>Ano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'Porto Alegre (A801)'!$B$13:$B$54</c15:sqref>
                        </c15:formulaRef>
                      </c:ext>
                    </c:extLst>
                    <c:numCache>
                      <c:formatCode>mmm\-yy</c:formatCode>
                      <c:ptCount val="42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  <c:pt idx="37">
                        <c:v>46054</c:v>
                      </c:pt>
                      <c:pt idx="38">
                        <c:v>46082</c:v>
                      </c:pt>
                      <c:pt idx="39">
                        <c:v>46113</c:v>
                      </c:pt>
                      <c:pt idx="40">
                        <c:v>46143</c:v>
                      </c:pt>
                      <c:pt idx="41">
                        <c:v>46174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'Porto Alegre (A801)'!$A$13:$A$54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2023</c:v>
                      </c:pt>
                      <c:pt idx="1">
                        <c:v>2023</c:v>
                      </c:pt>
                      <c:pt idx="2">
                        <c:v>2023</c:v>
                      </c:pt>
                      <c:pt idx="3">
                        <c:v>2023</c:v>
                      </c:pt>
                      <c:pt idx="4">
                        <c:v>2023</c:v>
                      </c:pt>
                      <c:pt idx="5">
                        <c:v>2023</c:v>
                      </c:pt>
                      <c:pt idx="6">
                        <c:v>2023</c:v>
                      </c:pt>
                      <c:pt idx="7">
                        <c:v>2023</c:v>
                      </c:pt>
                      <c:pt idx="8">
                        <c:v>2023</c:v>
                      </c:pt>
                      <c:pt idx="9">
                        <c:v>2023</c:v>
                      </c:pt>
                      <c:pt idx="10">
                        <c:v>2023</c:v>
                      </c:pt>
                      <c:pt idx="11">
                        <c:v>2023</c:v>
                      </c:pt>
                      <c:pt idx="12">
                        <c:v>2024</c:v>
                      </c:pt>
                      <c:pt idx="13">
                        <c:v>2024</c:v>
                      </c:pt>
                      <c:pt idx="14">
                        <c:v>2024</c:v>
                      </c:pt>
                      <c:pt idx="15">
                        <c:v>2024</c:v>
                      </c:pt>
                      <c:pt idx="16">
                        <c:v>2024</c:v>
                      </c:pt>
                      <c:pt idx="17">
                        <c:v>2024</c:v>
                      </c:pt>
                      <c:pt idx="18">
                        <c:v>2024</c:v>
                      </c:pt>
                      <c:pt idx="19">
                        <c:v>2024</c:v>
                      </c:pt>
                      <c:pt idx="20">
                        <c:v>2024</c:v>
                      </c:pt>
                      <c:pt idx="21">
                        <c:v>2024</c:v>
                      </c:pt>
                      <c:pt idx="22">
                        <c:v>2024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2025</c:v>
                      </c:pt>
                      <c:pt idx="26">
                        <c:v>2025</c:v>
                      </c:pt>
                      <c:pt idx="27">
                        <c:v>2025</c:v>
                      </c:pt>
                      <c:pt idx="28">
                        <c:v>2025</c:v>
                      </c:pt>
                      <c:pt idx="29">
                        <c:v>2025</c:v>
                      </c:pt>
                      <c:pt idx="30">
                        <c:v>2025</c:v>
                      </c:pt>
                      <c:pt idx="31">
                        <c:v>2025</c:v>
                      </c:pt>
                      <c:pt idx="32">
                        <c:v>2025</c:v>
                      </c:pt>
                      <c:pt idx="33">
                        <c:v>2025</c:v>
                      </c:pt>
                      <c:pt idx="34">
                        <c:v>2025</c:v>
                      </c:pt>
                      <c:pt idx="35">
                        <c:v>2025</c:v>
                      </c:pt>
                      <c:pt idx="36">
                        <c:v>2026</c:v>
                      </c:pt>
                      <c:pt idx="37">
                        <c:v>2026</c:v>
                      </c:pt>
                      <c:pt idx="38">
                        <c:v>2026</c:v>
                      </c:pt>
                      <c:pt idx="39">
                        <c:v>2026</c:v>
                      </c:pt>
                      <c:pt idx="40">
                        <c:v>2026</c:v>
                      </c:pt>
                      <c:pt idx="41">
                        <c:v>2026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175-42C3-96C3-E9A7EFEDB0C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'Porto Alegre (A801)'!$B$12</c15:sqref>
                        </c15:formulaRef>
                      </c:ext>
                    </c:extLst>
                    <c:strCache>
                      <c:ptCount val="1"/>
                      <c:pt idx="0">
                        <c:v>Data Medicao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'Porto Alegre (A801)'!$B$13:$B$54</c15:sqref>
                        </c15:formulaRef>
                      </c:ext>
                    </c:extLst>
                    <c:numCache>
                      <c:formatCode>mmm\-yy</c:formatCode>
                      <c:ptCount val="42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  <c:pt idx="37">
                        <c:v>46054</c:v>
                      </c:pt>
                      <c:pt idx="38">
                        <c:v>46082</c:v>
                      </c:pt>
                      <c:pt idx="39">
                        <c:v>46113</c:v>
                      </c:pt>
                      <c:pt idx="40">
                        <c:v>46143</c:v>
                      </c:pt>
                      <c:pt idx="41">
                        <c:v>46174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'Porto Alegre (A801)'!$B$13:$B$54</c15:sqref>
                        </c15:formulaRef>
                      </c:ext>
                    </c:extLst>
                    <c:numCache>
                      <c:formatCode>mmm\-yy</c:formatCode>
                      <c:ptCount val="42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  <c:pt idx="37">
                        <c:v>46054</c:v>
                      </c:pt>
                      <c:pt idx="38">
                        <c:v>46082</c:v>
                      </c:pt>
                      <c:pt idx="39">
                        <c:v>46113</c:v>
                      </c:pt>
                      <c:pt idx="40">
                        <c:v>46143</c:v>
                      </c:pt>
                      <c:pt idx="41">
                        <c:v>46174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175-42C3-96C3-E9A7EFEDB0CE}"/>
                  </c:ext>
                </c:extLst>
              </c15:ser>
            </c15:filteredLineSeries>
          </c:ext>
        </c:extLst>
      </c:lineChart>
      <c:dateAx>
        <c:axId val="170682259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825951"/>
        <c:crosses val="autoZero"/>
        <c:auto val="1"/>
        <c:lblOffset val="100"/>
        <c:baseTimeUnit val="months"/>
      </c:dateAx>
      <c:valAx>
        <c:axId val="1706825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82259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350520</xdr:colOff>
      <xdr:row>21</xdr:row>
      <xdr:rowOff>68580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8A3EFB-59BB-4F65-A64D-E7379849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22</xdr:row>
      <xdr:rowOff>129540</xdr:rowOff>
    </xdr:from>
    <xdr:to>
      <xdr:col>16</xdr:col>
      <xdr:colOff>434340</xdr:colOff>
      <xdr:row>42</xdr:row>
      <xdr:rowOff>121920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11816B-5E23-43DC-933A-4C4FA04CB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45</xdr:row>
      <xdr:rowOff>30480</xdr:rowOff>
    </xdr:from>
    <xdr:to>
      <xdr:col>13</xdr:col>
      <xdr:colOff>403860</xdr:colOff>
      <xdr:row>64</xdr:row>
      <xdr:rowOff>144780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B947DCA-F958-42D2-951B-1F3C94222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Garcia" refreshedDate="46276.736804282409" createdVersion="8" refreshedVersion="8" minRefreshableVersion="3" recordCount="42" xr:uid="{421A8D63-E321-4751-BF93-FCC56AA37B45}">
  <cacheSource type="worksheet">
    <worksheetSource ref="A12:J54" sheet="Porto Alegre (A801)"/>
  </cacheSource>
  <cacheFields count="13">
    <cacheField name="Ano" numFmtId="0">
      <sharedItems containsSemiMixedTypes="0" containsString="0" containsNumber="1" containsInteger="1" minValue="2023" maxValue="2026"/>
    </cacheField>
    <cacheField name="Data Medicao" numFmtId="17">
      <sharedItems containsSemiMixedTypes="0" containsNonDate="0" containsDate="1" containsString="0" minDate="2023-01-01T00:00:00" maxDate="2026-06-02T00:00:00" count="42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</sharedItems>
      <fieldGroup par="12"/>
    </cacheField>
    <cacheField name="Dias com Precipitacao (num)" numFmtId="0">
      <sharedItems containsSemiMixedTypes="0" containsString="0" containsNumber="1" containsInteger="1" minValue="5" maxValue="23"/>
    </cacheField>
    <cacheField name="Precipitacao Total Mensal (mm)" numFmtId="0">
      <sharedItems containsSemiMixedTypes="0" containsString="0" containsNumber="1" minValue="21.8" maxValue="564.79999999999995"/>
    </cacheField>
    <cacheField name="Dias sem precipitação" numFmtId="1">
      <sharedItems containsSemiMixedTypes="0" containsString="0" containsNumber="1" containsInteger="1" minValue="8" maxValue="26"/>
    </cacheField>
    <cacheField name="Pressao Atmosferica Media Mensal (mB)" numFmtId="0">
      <sharedItems containsString="0" containsBlank="1" containsNumber="1" minValue="1005.3" maxValue="1017.3"/>
    </cacheField>
    <cacheField name="Temperatura Media Mensal (C)" numFmtId="0">
      <sharedItems containsSemiMixedTypes="0" containsString="0" containsNumber="1" minValue="13.1" maxValue="26.6"/>
    </cacheField>
    <cacheField name="Vento Velocidade Maxima Mensal (m/s)" numFmtId="0">
      <sharedItems containsString="0" containsBlank="1" containsNumber="1" minValue="3.3" maxValue="7.9"/>
    </cacheField>
    <cacheField name="Vento Velocidade Media Mensal (m/s)" numFmtId="0">
      <sharedItems containsString="0" containsBlank="1" containsNumber="1" minValue="0.8" maxValue="1.7"/>
    </cacheField>
    <cacheField name="Total dia mês" numFmtId="2">
      <sharedItems containsSemiMixedTypes="0" containsString="0" containsNumber="1" containsInteger="1" minValue="28" maxValue="31"/>
    </cacheField>
    <cacheField name="Meses (Data Medicao)" numFmtId="0" databaseField="0">
      <fieldGroup base="1">
        <rangePr groupBy="months" startDate="2023-01-01T00:00:00" endDate="2026-06-02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6/2026"/>
        </groupItems>
      </fieldGroup>
    </cacheField>
    <cacheField name="Trimestres (Data Medicao)" numFmtId="0" databaseField="0">
      <fieldGroup base="1">
        <rangePr groupBy="quarters" startDate="2023-01-01T00:00:00" endDate="2026-06-02T00:00:00"/>
        <groupItems count="6">
          <s v="&lt;01/01/2023"/>
          <s v="Trim1"/>
          <s v="Trim2"/>
          <s v="Trim3"/>
          <s v="Trim4"/>
          <s v="&gt;02/06/2026"/>
        </groupItems>
      </fieldGroup>
    </cacheField>
    <cacheField name="Anos (Data Medicao)" numFmtId="0" databaseField="0">
      <fieldGroup base="1">
        <rangePr groupBy="years" startDate="2023-01-01T00:00:00" endDate="2026-06-02T00:00:00"/>
        <groupItems count="6">
          <s v="&lt;01/01/2023"/>
          <s v="2023"/>
          <s v="2024"/>
          <s v="2025"/>
          <s v="2026"/>
          <s v="&gt;02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3"/>
    <x v="0"/>
    <n v="8"/>
    <n v="53.2"/>
    <n v="23"/>
    <n v="1005.8"/>
    <n v="26.1"/>
    <n v="4.5"/>
    <n v="1.6"/>
    <n v="31"/>
  </r>
  <r>
    <n v="2023"/>
    <x v="1"/>
    <n v="11"/>
    <n v="116.4"/>
    <n v="17"/>
    <n v="1006.2"/>
    <n v="24.7"/>
    <n v="3.8"/>
    <n v="1.4"/>
    <n v="28"/>
  </r>
  <r>
    <n v="2023"/>
    <x v="2"/>
    <n v="11"/>
    <n v="89.6"/>
    <n v="20"/>
    <n v="1007.6"/>
    <n v="25.4"/>
    <n v="4.0999999999999996"/>
    <n v="1.4"/>
    <n v="31"/>
  </r>
  <r>
    <n v="2023"/>
    <x v="3"/>
    <n v="7"/>
    <n v="35.4"/>
    <n v="23"/>
    <n v="1009.7"/>
    <n v="20.6"/>
    <n v="4.7"/>
    <n v="1.3"/>
    <n v="30"/>
  </r>
  <r>
    <n v="2023"/>
    <x v="4"/>
    <n v="12"/>
    <n v="89.6"/>
    <n v="19"/>
    <n v="1012.3"/>
    <n v="18.3"/>
    <n v="4"/>
    <n v="1"/>
    <n v="31"/>
  </r>
  <r>
    <n v="2023"/>
    <x v="5"/>
    <n v="15"/>
    <n v="247.8"/>
    <n v="15"/>
    <n v="1013.3"/>
    <n v="16.3"/>
    <n v="5.7"/>
    <n v="1.2"/>
    <n v="30"/>
  </r>
  <r>
    <n v="2023"/>
    <x v="6"/>
    <n v="11"/>
    <n v="210.8"/>
    <n v="20"/>
    <n v="1013.7"/>
    <n v="15.5"/>
    <n v="5.3"/>
    <n v="1.3"/>
    <n v="31"/>
  </r>
  <r>
    <n v="2023"/>
    <x v="7"/>
    <n v="9"/>
    <n v="77"/>
    <n v="22"/>
    <n v="1010.9"/>
    <n v="16.7"/>
    <n v="5.4"/>
    <n v="1.3"/>
    <n v="31"/>
  </r>
  <r>
    <n v="2023"/>
    <x v="8"/>
    <n v="21"/>
    <n v="394.8"/>
    <n v="9"/>
    <n v="1008.5"/>
    <n v="18.3"/>
    <n v="5"/>
    <n v="1.6"/>
    <n v="30"/>
  </r>
  <r>
    <n v="2023"/>
    <x v="9"/>
    <n v="14"/>
    <n v="109.8"/>
    <n v="17"/>
    <n v="1008.1"/>
    <n v="19"/>
    <n v="4.5"/>
    <n v="1.6"/>
    <n v="31"/>
  </r>
  <r>
    <n v="2023"/>
    <x v="10"/>
    <n v="15"/>
    <n v="343"/>
    <n v="15"/>
    <n v="1005.8"/>
    <n v="21.2"/>
    <n v="4.8"/>
    <n v="1.7"/>
    <n v="30"/>
  </r>
  <r>
    <n v="2023"/>
    <x v="11"/>
    <n v="15"/>
    <n v="88.6"/>
    <n v="16"/>
    <n v="1006.3"/>
    <n v="24.5"/>
    <n v="4.2"/>
    <n v="1.6"/>
    <n v="31"/>
  </r>
  <r>
    <n v="2024"/>
    <x v="12"/>
    <n v="12"/>
    <n v="233.8"/>
    <n v="19"/>
    <n v="1007.3"/>
    <n v="24.3"/>
    <n v="7.9"/>
    <n v="1.7"/>
    <n v="31"/>
  </r>
  <r>
    <n v="2024"/>
    <x v="13"/>
    <n v="8"/>
    <n v="85.4"/>
    <n v="21"/>
    <n v="1007.8"/>
    <n v="25.9"/>
    <n v="4.0999999999999996"/>
    <n v="1.6"/>
    <n v="29"/>
  </r>
  <r>
    <n v="2024"/>
    <x v="14"/>
    <n v="8"/>
    <n v="81.599999999999994"/>
    <n v="23"/>
    <n v="1008"/>
    <n v="24.5"/>
    <n v="5.7"/>
    <n v="1.3"/>
    <n v="31"/>
  </r>
  <r>
    <n v="2024"/>
    <x v="15"/>
    <n v="14"/>
    <n v="228.4"/>
    <n v="16"/>
    <n v="1008.5"/>
    <n v="21.6"/>
    <n v="3.7"/>
    <n v="1.4"/>
    <n v="30"/>
  </r>
  <r>
    <n v="2024"/>
    <x v="16"/>
    <n v="23"/>
    <n v="564.79999999999995"/>
    <n v="8"/>
    <n v="1010.3"/>
    <n v="16.7"/>
    <n v="5"/>
    <n v="1.3"/>
    <n v="31"/>
  </r>
  <r>
    <n v="2024"/>
    <x v="17"/>
    <n v="16"/>
    <n v="176.6"/>
    <n v="14"/>
    <n v="1010.7"/>
    <n v="17.399999999999999"/>
    <n v="4.9000000000000004"/>
    <n v="1.3"/>
    <n v="30"/>
  </r>
  <r>
    <n v="2024"/>
    <x v="18"/>
    <n v="14"/>
    <n v="73.8"/>
    <n v="17"/>
    <n v="1017.1"/>
    <n v="13.7"/>
    <n v="4.2"/>
    <n v="1.1000000000000001"/>
    <n v="31"/>
  </r>
  <r>
    <n v="2024"/>
    <x v="19"/>
    <n v="11"/>
    <n v="45.2"/>
    <n v="20"/>
    <n v="1013"/>
    <n v="15.6"/>
    <n v="3.8"/>
    <n v="1.4"/>
    <n v="31"/>
  </r>
  <r>
    <n v="2024"/>
    <x v="20"/>
    <n v="13"/>
    <n v="211.8"/>
    <n v="17"/>
    <n v="1009.4"/>
    <n v="18.7"/>
    <n v="6.1"/>
    <n v="1.5"/>
    <n v="30"/>
  </r>
  <r>
    <n v="2024"/>
    <x v="21"/>
    <n v="14"/>
    <n v="61.6"/>
    <n v="17"/>
    <n v="1009.3"/>
    <n v="20.6"/>
    <n v="5.7"/>
    <n v="1.6"/>
    <n v="31"/>
  </r>
  <r>
    <n v="2024"/>
    <x v="22"/>
    <n v="14"/>
    <n v="72.400000000000006"/>
    <n v="16"/>
    <n v="1007.1"/>
    <n v="23.1"/>
    <n v="4.2"/>
    <n v="1.6"/>
    <n v="30"/>
  </r>
  <r>
    <n v="2024"/>
    <x v="23"/>
    <n v="12"/>
    <n v="240.4"/>
    <n v="19"/>
    <n v="1005.8"/>
    <n v="22.4"/>
    <n v="5.3"/>
    <n v="1.7"/>
    <n v="31"/>
  </r>
  <r>
    <n v="2025"/>
    <x v="24"/>
    <n v="13"/>
    <n v="106.8"/>
    <n v="18"/>
    <n v="1005.3"/>
    <n v="25"/>
    <n v="5.4"/>
    <n v="1.6"/>
    <n v="31"/>
  </r>
  <r>
    <n v="2025"/>
    <x v="25"/>
    <n v="9"/>
    <n v="137.6"/>
    <n v="19"/>
    <n v="1006.5"/>
    <n v="26.6"/>
    <n v="3.7"/>
    <n v="1.4"/>
    <n v="28"/>
  </r>
  <r>
    <n v="2025"/>
    <x v="26"/>
    <n v="5"/>
    <n v="45.4"/>
    <n v="26"/>
    <n v="1009.5"/>
    <n v="25.2"/>
    <n v="3.7"/>
    <n v="1.3"/>
    <n v="31"/>
  </r>
  <r>
    <n v="2025"/>
    <x v="27"/>
    <n v="7"/>
    <n v="67.8"/>
    <n v="23"/>
    <n v="1010.6"/>
    <n v="20.2"/>
    <m/>
    <m/>
    <n v="30"/>
  </r>
  <r>
    <n v="2025"/>
    <x v="28"/>
    <n v="9"/>
    <n v="112.5"/>
    <n v="22"/>
    <n v="1012.7"/>
    <n v="17.600000000000001"/>
    <n v="3.4"/>
    <m/>
    <n v="31"/>
  </r>
  <r>
    <n v="2025"/>
    <x v="29"/>
    <n v="17"/>
    <n v="262"/>
    <n v="13"/>
    <n v="1013.4"/>
    <n v="13.3"/>
    <n v="3.7"/>
    <n v="0.8"/>
    <n v="30"/>
  </r>
  <r>
    <n v="2025"/>
    <x v="30"/>
    <n v="11"/>
    <n v="91.2"/>
    <n v="20"/>
    <n v="1017.3"/>
    <n v="13.1"/>
    <n v="3.5"/>
    <n v="0.8"/>
    <n v="31"/>
  </r>
  <r>
    <n v="2025"/>
    <x v="31"/>
    <n v="14"/>
    <n v="211.6"/>
    <n v="17"/>
    <n v="1014.8"/>
    <n v="15.5"/>
    <n v="3.3"/>
    <n v="0.9"/>
    <n v="31"/>
  </r>
  <r>
    <n v="2025"/>
    <x v="32"/>
    <n v="13"/>
    <n v="197.6"/>
    <n v="17"/>
    <n v="1014.3"/>
    <n v="17.7"/>
    <n v="4.4000000000000004"/>
    <n v="1.3"/>
    <n v="30"/>
  </r>
  <r>
    <n v="2025"/>
    <x v="33"/>
    <n v="13"/>
    <n v="124.2"/>
    <n v="18"/>
    <n v="1013.3"/>
    <n v="19.899999999999999"/>
    <n v="4.7"/>
    <n v="1.6"/>
    <n v="31"/>
  </r>
  <r>
    <n v="2025"/>
    <x v="34"/>
    <n v="6"/>
    <n v="50.9"/>
    <n v="24"/>
    <n v="1012.4"/>
    <n v="21.4"/>
    <n v="5.8"/>
    <n v="1.7"/>
    <n v="30"/>
  </r>
  <r>
    <n v="2025"/>
    <x v="35"/>
    <n v="10"/>
    <n v="149.80000000000001"/>
    <n v="21"/>
    <n v="1010.7"/>
    <n v="24.9"/>
    <n v="5.0999999999999996"/>
    <n v="1.6"/>
    <n v="31"/>
  </r>
  <r>
    <n v="2026"/>
    <x v="36"/>
    <n v="6"/>
    <n v="81.900000000000006"/>
    <n v="25"/>
    <n v="1015.1"/>
    <n v="25"/>
    <n v="4.8"/>
    <n v="1.5"/>
    <n v="31"/>
  </r>
  <r>
    <n v="2026"/>
    <x v="37"/>
    <n v="9"/>
    <n v="40.799999999999997"/>
    <n v="19"/>
    <n v="1009.4"/>
    <n v="25.1"/>
    <n v="4"/>
    <n v="1.5"/>
    <n v="28"/>
  </r>
  <r>
    <n v="2026"/>
    <x v="38"/>
    <n v="16"/>
    <n v="107.8"/>
    <n v="15"/>
    <m/>
    <n v="24.8"/>
    <n v="3.6"/>
    <n v="1.4"/>
    <n v="31"/>
  </r>
  <r>
    <n v="2026"/>
    <x v="39"/>
    <n v="10"/>
    <n v="90"/>
    <n v="20"/>
    <n v="1009.2"/>
    <n v="21.8"/>
    <n v="4.8"/>
    <n v="1.4"/>
    <n v="30"/>
  </r>
  <r>
    <n v="2026"/>
    <x v="40"/>
    <n v="8"/>
    <n v="84.2"/>
    <n v="23"/>
    <n v="1014.1"/>
    <n v="16.100000000000001"/>
    <n v="4.3"/>
    <n v="1.4"/>
    <n v="31"/>
  </r>
  <r>
    <n v="2026"/>
    <x v="41"/>
    <n v="7"/>
    <n v="21.8"/>
    <n v="23"/>
    <n v="1014.6"/>
    <n v="13.7"/>
    <m/>
    <m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6B3F2-DB31-487C-A97A-B4B6EEE42A86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es">
  <location ref="M12:R26" firstHeaderRow="1" firstDataRow="2" firstDataCol="1"/>
  <pivotFields count="13">
    <pivotField showAll="0"/>
    <pivotField numFmtId="17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showAll="0"/>
    <pivotField dataField="1" numFmtId="1" showAll="0"/>
    <pivotField showAll="0"/>
    <pivotField showAll="0"/>
    <pivotField showAll="0"/>
    <pivotField showAll="0"/>
    <pivotField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2"/>
  </colFields>
  <colItems count="5">
    <i>
      <x v="1"/>
    </i>
    <i>
      <x v="2"/>
    </i>
    <i>
      <x v="3"/>
    </i>
    <i>
      <x v="4"/>
    </i>
    <i t="grand">
      <x/>
    </i>
  </colItems>
  <dataFields count="1">
    <dataField name="Soma de Dias sem precipitação" fld="4" baseField="0" baseItem="0"/>
  </dataFields>
  <formats count="3">
    <format dxfId="2">
      <pivotArea dataOnly="0" labelOnly="1" fieldPosition="0">
        <references count="1">
          <reference field="12" count="4">
            <x v="1"/>
            <x v="2"/>
            <x v="3"/>
            <x v="4"/>
          </reference>
        </references>
      </pivotArea>
    </format>
    <format dxfId="1">
      <pivotArea dataOnly="0" labelOnly="1" grandCol="1" outline="0" fieldPosition="0"/>
    </format>
    <format dxfId="0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showGridLines="0" tabSelected="1" topLeftCell="G1" zoomScaleNormal="100" workbookViewId="0">
      <selection activeCell="M1" sqref="M1"/>
    </sheetView>
  </sheetViews>
  <sheetFormatPr defaultColWidth="8.6640625" defaultRowHeight="14.4" x14ac:dyDescent="0.3"/>
  <cols>
    <col min="2" max="2" width="14.44140625" bestFit="1" customWidth="1"/>
    <col min="3" max="3" width="27.33203125" bestFit="1" customWidth="1"/>
    <col min="4" max="4" width="29.21875" bestFit="1" customWidth="1"/>
    <col min="5" max="5" width="29.21875" customWidth="1"/>
    <col min="6" max="6" width="37" bestFit="1" customWidth="1"/>
    <col min="7" max="7" width="28.77734375" bestFit="1" customWidth="1"/>
    <col min="8" max="8" width="35.6640625" bestFit="1" customWidth="1"/>
    <col min="9" max="9" width="34.44140625" bestFit="1" customWidth="1"/>
    <col min="13" max="13" width="27.33203125" bestFit="1" customWidth="1"/>
    <col min="14" max="14" width="18.5546875" bestFit="1" customWidth="1"/>
    <col min="15" max="17" width="5" bestFit="1" customWidth="1"/>
    <col min="18" max="18" width="10" bestFit="1" customWidth="1"/>
  </cols>
  <sheetData>
    <row r="1" spans="1:18" ht="15.6" x14ac:dyDescent="0.3">
      <c r="B1" s="1" t="s">
        <v>0</v>
      </c>
    </row>
    <row r="2" spans="1:18" x14ac:dyDescent="0.3">
      <c r="B2" s="2" t="s">
        <v>1</v>
      </c>
      <c r="C2" s="2" t="s">
        <v>2</v>
      </c>
    </row>
    <row r="3" spans="1:18" x14ac:dyDescent="0.3">
      <c r="B3" s="2" t="s">
        <v>3</v>
      </c>
      <c r="C3" s="2" t="s">
        <v>4</v>
      </c>
    </row>
    <row r="4" spans="1:18" x14ac:dyDescent="0.3">
      <c r="B4" s="2" t="s">
        <v>5</v>
      </c>
      <c r="C4" s="2" t="s">
        <v>6</v>
      </c>
    </row>
    <row r="5" spans="1:18" x14ac:dyDescent="0.3">
      <c r="B5" s="2" t="s">
        <v>7</v>
      </c>
      <c r="C5" s="2" t="s">
        <v>8</v>
      </c>
    </row>
    <row r="6" spans="1:18" x14ac:dyDescent="0.3">
      <c r="B6" s="2" t="s">
        <v>9</v>
      </c>
      <c r="C6" s="2" t="s">
        <v>10</v>
      </c>
    </row>
    <row r="7" spans="1:18" x14ac:dyDescent="0.3">
      <c r="B7" s="2" t="s">
        <v>11</v>
      </c>
      <c r="C7" s="2" t="s">
        <v>12</v>
      </c>
    </row>
    <row r="8" spans="1:18" x14ac:dyDescent="0.3">
      <c r="B8" s="2" t="s">
        <v>13</v>
      </c>
      <c r="C8" s="2" t="s">
        <v>14</v>
      </c>
    </row>
    <row r="9" spans="1:18" x14ac:dyDescent="0.3">
      <c r="B9" s="2" t="s">
        <v>15</v>
      </c>
      <c r="C9" s="2" t="s">
        <v>16</v>
      </c>
    </row>
    <row r="10" spans="1:18" x14ac:dyDescent="0.3">
      <c r="B10" s="2" t="s">
        <v>17</v>
      </c>
      <c r="C10" s="2" t="s">
        <v>18</v>
      </c>
    </row>
    <row r="11" spans="1:18" x14ac:dyDescent="0.3">
      <c r="B11" s="3"/>
      <c r="C11" s="3"/>
      <c r="D11" s="3"/>
      <c r="E11" s="3"/>
      <c r="F11" s="3"/>
      <c r="G11" s="3"/>
      <c r="H11" s="3"/>
      <c r="I11" s="3"/>
    </row>
    <row r="12" spans="1:18" x14ac:dyDescent="0.3">
      <c r="A12" t="s">
        <v>38</v>
      </c>
      <c r="B12" s="2" t="s">
        <v>19</v>
      </c>
      <c r="C12" s="2" t="s">
        <v>20</v>
      </c>
      <c r="D12" s="2" t="s">
        <v>21</v>
      </c>
      <c r="E12" s="4" t="s">
        <v>41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40</v>
      </c>
      <c r="M12" s="6" t="s">
        <v>47</v>
      </c>
      <c r="N12" s="6" t="s">
        <v>46</v>
      </c>
    </row>
    <row r="13" spans="1:18" x14ac:dyDescent="0.3">
      <c r="A13">
        <v>2023</v>
      </c>
      <c r="B13" s="10">
        <v>44927</v>
      </c>
      <c r="C13" s="4">
        <v>8</v>
      </c>
      <c r="D13" s="4">
        <v>53.2</v>
      </c>
      <c r="E13" s="12">
        <f>J13-C13</f>
        <v>23</v>
      </c>
      <c r="F13" s="4">
        <v>1005.8</v>
      </c>
      <c r="G13" s="4">
        <v>26.1</v>
      </c>
      <c r="H13" s="4">
        <v>4.5</v>
      </c>
      <c r="I13" s="4">
        <v>1.6</v>
      </c>
      <c r="J13" s="11">
        <f t="shared" ref="J13:J54" si="0">DAY(EOMONTH(B13,0))</f>
        <v>31</v>
      </c>
      <c r="K13" s="11"/>
      <c r="L13" s="11"/>
      <c r="M13" s="6" t="s">
        <v>48</v>
      </c>
      <c r="N13" s="8" t="s">
        <v>42</v>
      </c>
      <c r="O13" s="8" t="s">
        <v>43</v>
      </c>
      <c r="P13" s="8" t="s">
        <v>44</v>
      </c>
      <c r="Q13" s="8" t="s">
        <v>45</v>
      </c>
      <c r="R13" s="8" t="s">
        <v>39</v>
      </c>
    </row>
    <row r="14" spans="1:18" x14ac:dyDescent="0.3">
      <c r="A14">
        <v>2023</v>
      </c>
      <c r="B14" s="10">
        <v>44958</v>
      </c>
      <c r="C14" s="4">
        <v>11</v>
      </c>
      <c r="D14" s="4">
        <v>116.4</v>
      </c>
      <c r="E14" s="12">
        <f t="shared" ref="E14:E54" si="1">J14-C14</f>
        <v>17</v>
      </c>
      <c r="F14" s="4">
        <v>1006.2</v>
      </c>
      <c r="G14" s="4">
        <v>24.7</v>
      </c>
      <c r="H14" s="4">
        <v>3.8</v>
      </c>
      <c r="I14" s="4">
        <v>1.4</v>
      </c>
      <c r="J14" s="11">
        <f t="shared" si="0"/>
        <v>28</v>
      </c>
      <c r="K14" s="11"/>
      <c r="L14" s="11"/>
      <c r="M14" s="7" t="s">
        <v>26</v>
      </c>
      <c r="N14" s="9">
        <v>23</v>
      </c>
      <c r="O14" s="9">
        <v>19</v>
      </c>
      <c r="P14" s="9">
        <v>18</v>
      </c>
      <c r="Q14" s="9">
        <v>25</v>
      </c>
      <c r="R14" s="9">
        <v>85</v>
      </c>
    </row>
    <row r="15" spans="1:18" x14ac:dyDescent="0.3">
      <c r="A15">
        <v>2023</v>
      </c>
      <c r="B15" s="10">
        <v>44986</v>
      </c>
      <c r="C15" s="4">
        <v>11</v>
      </c>
      <c r="D15" s="4">
        <v>89.6</v>
      </c>
      <c r="E15" s="12">
        <f t="shared" si="1"/>
        <v>20</v>
      </c>
      <c r="F15" s="4">
        <v>1007.6</v>
      </c>
      <c r="G15" s="4">
        <v>25.4</v>
      </c>
      <c r="H15" s="4">
        <v>4.0999999999999996</v>
      </c>
      <c r="I15" s="4">
        <v>1.4</v>
      </c>
      <c r="J15" s="11">
        <f t="shared" si="0"/>
        <v>31</v>
      </c>
      <c r="K15" s="11"/>
      <c r="L15" s="11"/>
      <c r="M15" s="7" t="s">
        <v>27</v>
      </c>
      <c r="N15" s="9">
        <v>17</v>
      </c>
      <c r="O15" s="9">
        <v>21</v>
      </c>
      <c r="P15" s="9">
        <v>19</v>
      </c>
      <c r="Q15" s="9">
        <v>19</v>
      </c>
      <c r="R15" s="9">
        <v>76</v>
      </c>
    </row>
    <row r="16" spans="1:18" x14ac:dyDescent="0.3">
      <c r="A16">
        <v>2023</v>
      </c>
      <c r="B16" s="10">
        <v>45017</v>
      </c>
      <c r="C16" s="4">
        <v>7</v>
      </c>
      <c r="D16" s="4">
        <v>35.4</v>
      </c>
      <c r="E16" s="12">
        <f t="shared" si="1"/>
        <v>23</v>
      </c>
      <c r="F16" s="4">
        <v>1009.7</v>
      </c>
      <c r="G16" s="4">
        <v>20.6</v>
      </c>
      <c r="H16" s="4">
        <v>4.7</v>
      </c>
      <c r="I16" s="4">
        <v>1.3</v>
      </c>
      <c r="J16" s="11">
        <f t="shared" si="0"/>
        <v>30</v>
      </c>
      <c r="K16" s="11"/>
      <c r="L16" s="11"/>
      <c r="M16" s="7" t="s">
        <v>28</v>
      </c>
      <c r="N16" s="9">
        <v>20</v>
      </c>
      <c r="O16" s="9">
        <v>23</v>
      </c>
      <c r="P16" s="9">
        <v>26</v>
      </c>
      <c r="Q16" s="9">
        <v>15</v>
      </c>
      <c r="R16" s="9">
        <v>84</v>
      </c>
    </row>
    <row r="17" spans="1:18" x14ac:dyDescent="0.3">
      <c r="A17">
        <v>2023</v>
      </c>
      <c r="B17" s="10">
        <v>45047</v>
      </c>
      <c r="C17" s="4">
        <v>12</v>
      </c>
      <c r="D17" s="4">
        <v>89.6</v>
      </c>
      <c r="E17" s="12">
        <f t="shared" si="1"/>
        <v>19</v>
      </c>
      <c r="F17" s="4">
        <v>1012.3</v>
      </c>
      <c r="G17" s="4">
        <v>18.3</v>
      </c>
      <c r="H17" s="4">
        <v>4</v>
      </c>
      <c r="I17" s="4">
        <v>1</v>
      </c>
      <c r="J17" s="11">
        <f t="shared" si="0"/>
        <v>31</v>
      </c>
      <c r="K17" s="11"/>
      <c r="L17" s="11"/>
      <c r="M17" s="7" t="s">
        <v>29</v>
      </c>
      <c r="N17" s="9">
        <v>23</v>
      </c>
      <c r="O17" s="9">
        <v>16</v>
      </c>
      <c r="P17" s="9">
        <v>23</v>
      </c>
      <c r="Q17" s="9">
        <v>20</v>
      </c>
      <c r="R17" s="9">
        <v>82</v>
      </c>
    </row>
    <row r="18" spans="1:18" x14ac:dyDescent="0.3">
      <c r="A18">
        <v>2023</v>
      </c>
      <c r="B18" s="10">
        <v>45078</v>
      </c>
      <c r="C18" s="4">
        <v>15</v>
      </c>
      <c r="D18" s="4">
        <v>247.8</v>
      </c>
      <c r="E18" s="12">
        <f t="shared" si="1"/>
        <v>15</v>
      </c>
      <c r="F18" s="4">
        <v>1013.3</v>
      </c>
      <c r="G18" s="4">
        <v>16.3</v>
      </c>
      <c r="H18" s="4">
        <v>5.7</v>
      </c>
      <c r="I18" s="4">
        <v>1.2</v>
      </c>
      <c r="J18" s="11">
        <f t="shared" si="0"/>
        <v>30</v>
      </c>
      <c r="K18" s="11"/>
      <c r="L18" s="11"/>
      <c r="M18" s="7" t="s">
        <v>30</v>
      </c>
      <c r="N18" s="9">
        <v>19</v>
      </c>
      <c r="O18" s="9">
        <v>8</v>
      </c>
      <c r="P18" s="9">
        <v>22</v>
      </c>
      <c r="Q18" s="9">
        <v>23</v>
      </c>
      <c r="R18" s="9">
        <v>72</v>
      </c>
    </row>
    <row r="19" spans="1:18" x14ac:dyDescent="0.3">
      <c r="A19">
        <v>2023</v>
      </c>
      <c r="B19" s="10">
        <v>45108</v>
      </c>
      <c r="C19" s="4">
        <v>11</v>
      </c>
      <c r="D19" s="4">
        <v>210.8</v>
      </c>
      <c r="E19" s="12">
        <f t="shared" si="1"/>
        <v>20</v>
      </c>
      <c r="F19" s="4">
        <v>1013.7</v>
      </c>
      <c r="G19" s="4">
        <v>15.5</v>
      </c>
      <c r="H19" s="4">
        <v>5.3</v>
      </c>
      <c r="I19" s="4">
        <v>1.3</v>
      </c>
      <c r="J19" s="11">
        <f t="shared" si="0"/>
        <v>31</v>
      </c>
      <c r="K19" s="11"/>
      <c r="L19" s="11"/>
      <c r="M19" s="7" t="s">
        <v>31</v>
      </c>
      <c r="N19" s="9">
        <v>15</v>
      </c>
      <c r="O19" s="9">
        <v>14</v>
      </c>
      <c r="P19" s="9">
        <v>13</v>
      </c>
      <c r="Q19" s="9">
        <v>23</v>
      </c>
      <c r="R19" s="9">
        <v>65</v>
      </c>
    </row>
    <row r="20" spans="1:18" x14ac:dyDescent="0.3">
      <c r="A20">
        <v>2023</v>
      </c>
      <c r="B20" s="10">
        <v>45139</v>
      </c>
      <c r="C20" s="4">
        <v>9</v>
      </c>
      <c r="D20" s="4">
        <v>77</v>
      </c>
      <c r="E20" s="12">
        <f t="shared" si="1"/>
        <v>22</v>
      </c>
      <c r="F20" s="4">
        <v>1010.9</v>
      </c>
      <c r="G20" s="4">
        <v>16.7</v>
      </c>
      <c r="H20" s="4">
        <v>5.4</v>
      </c>
      <c r="I20" s="4">
        <v>1.3</v>
      </c>
      <c r="J20" s="11">
        <f t="shared" si="0"/>
        <v>31</v>
      </c>
      <c r="K20" s="11"/>
      <c r="L20" s="11"/>
      <c r="M20" s="7" t="s">
        <v>32</v>
      </c>
      <c r="N20" s="9">
        <v>20</v>
      </c>
      <c r="O20" s="9">
        <v>17</v>
      </c>
      <c r="P20" s="9">
        <v>20</v>
      </c>
      <c r="Q20" s="9"/>
      <c r="R20" s="9">
        <v>57</v>
      </c>
    </row>
    <row r="21" spans="1:18" x14ac:dyDescent="0.3">
      <c r="A21">
        <v>2023</v>
      </c>
      <c r="B21" s="10">
        <v>45170</v>
      </c>
      <c r="C21" s="4">
        <v>21</v>
      </c>
      <c r="D21" s="4">
        <v>394.8</v>
      </c>
      <c r="E21" s="12">
        <f t="shared" si="1"/>
        <v>9</v>
      </c>
      <c r="F21" s="4">
        <v>1008.5</v>
      </c>
      <c r="G21" s="4">
        <v>18.3</v>
      </c>
      <c r="H21" s="4">
        <v>5</v>
      </c>
      <c r="I21" s="4">
        <v>1.6</v>
      </c>
      <c r="J21" s="11">
        <f t="shared" si="0"/>
        <v>30</v>
      </c>
      <c r="K21" s="11"/>
      <c r="L21" s="11"/>
      <c r="M21" s="7" t="s">
        <v>33</v>
      </c>
      <c r="N21" s="9">
        <v>22</v>
      </c>
      <c r="O21" s="9">
        <v>20</v>
      </c>
      <c r="P21" s="9">
        <v>17</v>
      </c>
      <c r="Q21" s="9"/>
      <c r="R21" s="9">
        <v>59</v>
      </c>
    </row>
    <row r="22" spans="1:18" x14ac:dyDescent="0.3">
      <c r="A22">
        <v>2023</v>
      </c>
      <c r="B22" s="10">
        <v>45200</v>
      </c>
      <c r="C22" s="4">
        <v>14</v>
      </c>
      <c r="D22" s="4">
        <v>109.8</v>
      </c>
      <c r="E22" s="12">
        <f t="shared" si="1"/>
        <v>17</v>
      </c>
      <c r="F22" s="4">
        <v>1008.1</v>
      </c>
      <c r="G22" s="4">
        <v>19</v>
      </c>
      <c r="H22" s="4">
        <v>4.5</v>
      </c>
      <c r="I22" s="4">
        <v>1.6</v>
      </c>
      <c r="J22" s="11">
        <f t="shared" si="0"/>
        <v>31</v>
      </c>
      <c r="K22" s="11"/>
      <c r="L22" s="11"/>
      <c r="M22" s="7" t="s">
        <v>34</v>
      </c>
      <c r="N22" s="9">
        <v>9</v>
      </c>
      <c r="O22" s="9">
        <v>17</v>
      </c>
      <c r="P22" s="9">
        <v>17</v>
      </c>
      <c r="Q22" s="9"/>
      <c r="R22" s="9">
        <v>43</v>
      </c>
    </row>
    <row r="23" spans="1:18" x14ac:dyDescent="0.3">
      <c r="A23">
        <v>2023</v>
      </c>
      <c r="B23" s="10">
        <v>45231</v>
      </c>
      <c r="C23" s="4">
        <v>15</v>
      </c>
      <c r="D23" s="4">
        <v>343</v>
      </c>
      <c r="E23" s="12">
        <f t="shared" si="1"/>
        <v>15</v>
      </c>
      <c r="F23" s="4">
        <v>1005.8</v>
      </c>
      <c r="G23" s="4">
        <v>21.2</v>
      </c>
      <c r="H23" s="4">
        <v>4.8</v>
      </c>
      <c r="I23" s="4">
        <v>1.7</v>
      </c>
      <c r="J23" s="11">
        <f t="shared" si="0"/>
        <v>30</v>
      </c>
      <c r="K23" s="11"/>
      <c r="L23" s="11"/>
      <c r="M23" s="7" t="s">
        <v>35</v>
      </c>
      <c r="N23" s="9">
        <v>17</v>
      </c>
      <c r="O23" s="9">
        <v>17</v>
      </c>
      <c r="P23" s="9">
        <v>18</v>
      </c>
      <c r="Q23" s="9"/>
      <c r="R23" s="9">
        <v>52</v>
      </c>
    </row>
    <row r="24" spans="1:18" x14ac:dyDescent="0.3">
      <c r="A24">
        <v>2023</v>
      </c>
      <c r="B24" s="10">
        <v>45261</v>
      </c>
      <c r="C24" s="4">
        <v>15</v>
      </c>
      <c r="D24" s="4">
        <v>88.6</v>
      </c>
      <c r="E24" s="12">
        <f t="shared" si="1"/>
        <v>16</v>
      </c>
      <c r="F24" s="4">
        <v>1006.3</v>
      </c>
      <c r="G24" s="4">
        <v>24.5</v>
      </c>
      <c r="H24" s="4">
        <v>4.2</v>
      </c>
      <c r="I24" s="4">
        <v>1.6</v>
      </c>
      <c r="J24" s="11">
        <f t="shared" si="0"/>
        <v>31</v>
      </c>
      <c r="K24" s="11"/>
      <c r="L24" s="11"/>
      <c r="M24" s="7" t="s">
        <v>36</v>
      </c>
      <c r="N24" s="9">
        <v>15</v>
      </c>
      <c r="O24" s="9">
        <v>16</v>
      </c>
      <c r="P24" s="9">
        <v>24</v>
      </c>
      <c r="Q24" s="9"/>
      <c r="R24" s="9">
        <v>55</v>
      </c>
    </row>
    <row r="25" spans="1:18" x14ac:dyDescent="0.3">
      <c r="A25">
        <v>2024</v>
      </c>
      <c r="B25" s="10">
        <v>45292</v>
      </c>
      <c r="C25" s="4">
        <v>12</v>
      </c>
      <c r="D25" s="4">
        <v>233.8</v>
      </c>
      <c r="E25" s="12">
        <f t="shared" si="1"/>
        <v>19</v>
      </c>
      <c r="F25" s="4">
        <v>1007.3</v>
      </c>
      <c r="G25" s="4">
        <v>24.3</v>
      </c>
      <c r="H25" s="4">
        <v>7.9</v>
      </c>
      <c r="I25" s="4">
        <v>1.7</v>
      </c>
      <c r="J25" s="11">
        <f t="shared" si="0"/>
        <v>31</v>
      </c>
      <c r="K25" s="11"/>
      <c r="L25" s="11"/>
      <c r="M25" s="7" t="s">
        <v>37</v>
      </c>
      <c r="N25" s="9">
        <v>16</v>
      </c>
      <c r="O25" s="9">
        <v>19</v>
      </c>
      <c r="P25" s="9">
        <v>21</v>
      </c>
      <c r="Q25" s="9"/>
      <c r="R25" s="9">
        <v>56</v>
      </c>
    </row>
    <row r="26" spans="1:18" x14ac:dyDescent="0.3">
      <c r="A26">
        <v>2024</v>
      </c>
      <c r="B26" s="10">
        <v>45323</v>
      </c>
      <c r="C26" s="4">
        <v>8</v>
      </c>
      <c r="D26" s="4">
        <v>85.4</v>
      </c>
      <c r="E26" s="12">
        <f t="shared" si="1"/>
        <v>21</v>
      </c>
      <c r="F26" s="4">
        <v>1007.8</v>
      </c>
      <c r="G26" s="4">
        <v>25.9</v>
      </c>
      <c r="H26" s="4">
        <v>4.0999999999999996</v>
      </c>
      <c r="I26" s="4">
        <v>1.6</v>
      </c>
      <c r="J26" s="11">
        <f t="shared" si="0"/>
        <v>29</v>
      </c>
      <c r="K26" s="11"/>
      <c r="L26" s="11"/>
      <c r="M26" s="7" t="s">
        <v>39</v>
      </c>
      <c r="N26" s="9">
        <v>216</v>
      </c>
      <c r="O26" s="9">
        <v>207</v>
      </c>
      <c r="P26" s="9">
        <v>238</v>
      </c>
      <c r="Q26" s="9">
        <v>125</v>
      </c>
      <c r="R26" s="9">
        <v>786</v>
      </c>
    </row>
    <row r="27" spans="1:18" x14ac:dyDescent="0.3">
      <c r="A27">
        <v>2024</v>
      </c>
      <c r="B27" s="10">
        <v>45352</v>
      </c>
      <c r="C27" s="4">
        <v>8</v>
      </c>
      <c r="D27" s="4">
        <v>81.599999999999994</v>
      </c>
      <c r="E27" s="12">
        <f t="shared" si="1"/>
        <v>23</v>
      </c>
      <c r="F27" s="4">
        <v>1008</v>
      </c>
      <c r="G27" s="4">
        <v>24.5</v>
      </c>
      <c r="H27" s="4">
        <v>5.7</v>
      </c>
      <c r="I27" s="4">
        <v>1.3</v>
      </c>
      <c r="J27" s="11">
        <f t="shared" si="0"/>
        <v>31</v>
      </c>
      <c r="K27" s="11"/>
      <c r="L27" s="11"/>
      <c r="P27" s="11"/>
    </row>
    <row r="28" spans="1:18" x14ac:dyDescent="0.3">
      <c r="A28">
        <v>2024</v>
      </c>
      <c r="B28" s="10">
        <v>45383</v>
      </c>
      <c r="C28" s="4">
        <v>14</v>
      </c>
      <c r="D28" s="4">
        <v>228.4</v>
      </c>
      <c r="E28" s="12">
        <f t="shared" si="1"/>
        <v>16</v>
      </c>
      <c r="F28" s="4">
        <v>1008.5</v>
      </c>
      <c r="G28" s="4">
        <v>21.6</v>
      </c>
      <c r="H28" s="4">
        <v>3.7</v>
      </c>
      <c r="I28" s="4">
        <v>1.4</v>
      </c>
      <c r="J28" s="11">
        <f t="shared" si="0"/>
        <v>30</v>
      </c>
      <c r="K28" s="11"/>
      <c r="L28" s="11"/>
      <c r="P28" s="11"/>
    </row>
    <row r="29" spans="1:18" x14ac:dyDescent="0.3">
      <c r="A29">
        <v>2024</v>
      </c>
      <c r="B29" s="10">
        <v>45413</v>
      </c>
      <c r="C29" s="4">
        <v>23</v>
      </c>
      <c r="D29" s="4">
        <v>564.79999999999995</v>
      </c>
      <c r="E29" s="12">
        <f t="shared" si="1"/>
        <v>8</v>
      </c>
      <c r="F29" s="4">
        <v>1010.3</v>
      </c>
      <c r="G29" s="4">
        <v>16.7</v>
      </c>
      <c r="H29" s="4">
        <v>5</v>
      </c>
      <c r="I29" s="4">
        <v>1.3</v>
      </c>
      <c r="J29" s="11">
        <f t="shared" si="0"/>
        <v>31</v>
      </c>
      <c r="K29" s="11"/>
      <c r="L29" s="11"/>
      <c r="P29" s="11"/>
    </row>
    <row r="30" spans="1:18" x14ac:dyDescent="0.3">
      <c r="A30">
        <v>2024</v>
      </c>
      <c r="B30" s="10">
        <v>45444</v>
      </c>
      <c r="C30" s="4">
        <v>16</v>
      </c>
      <c r="D30" s="4">
        <v>176.6</v>
      </c>
      <c r="E30" s="12">
        <f t="shared" si="1"/>
        <v>14</v>
      </c>
      <c r="F30" s="4">
        <v>1010.7</v>
      </c>
      <c r="G30" s="4">
        <v>17.399999999999999</v>
      </c>
      <c r="H30" s="4">
        <v>4.9000000000000004</v>
      </c>
      <c r="I30" s="4">
        <v>1.3</v>
      </c>
      <c r="J30" s="11">
        <f t="shared" si="0"/>
        <v>30</v>
      </c>
      <c r="K30" s="11"/>
      <c r="L30" s="11"/>
      <c r="N30" s="11"/>
      <c r="O30" s="11"/>
      <c r="P30" s="11"/>
    </row>
    <row r="31" spans="1:18" x14ac:dyDescent="0.3">
      <c r="A31">
        <v>2024</v>
      </c>
      <c r="B31" s="10">
        <v>45474</v>
      </c>
      <c r="C31" s="4">
        <v>14</v>
      </c>
      <c r="D31" s="4">
        <v>73.8</v>
      </c>
      <c r="E31" s="12">
        <f t="shared" si="1"/>
        <v>17</v>
      </c>
      <c r="F31" s="4">
        <v>1017.1</v>
      </c>
      <c r="G31" s="4">
        <v>13.7</v>
      </c>
      <c r="H31" s="4">
        <v>4.2</v>
      </c>
      <c r="I31" s="4">
        <v>1.1000000000000001</v>
      </c>
      <c r="J31" s="11">
        <f t="shared" si="0"/>
        <v>31</v>
      </c>
      <c r="K31" s="11"/>
      <c r="L31" s="11"/>
      <c r="N31" s="11"/>
      <c r="O31" s="11"/>
      <c r="P31" s="11"/>
    </row>
    <row r="32" spans="1:18" x14ac:dyDescent="0.3">
      <c r="A32">
        <v>2024</v>
      </c>
      <c r="B32" s="10">
        <v>45505</v>
      </c>
      <c r="C32" s="4">
        <v>11</v>
      </c>
      <c r="D32" s="4">
        <v>45.2</v>
      </c>
      <c r="E32" s="12">
        <f t="shared" si="1"/>
        <v>20</v>
      </c>
      <c r="F32" s="4">
        <v>1013</v>
      </c>
      <c r="G32" s="4">
        <v>15.6</v>
      </c>
      <c r="H32" s="4">
        <v>3.8</v>
      </c>
      <c r="I32" s="4">
        <v>1.4</v>
      </c>
      <c r="J32" s="11">
        <f t="shared" si="0"/>
        <v>31</v>
      </c>
      <c r="K32" s="11"/>
      <c r="L32" s="11"/>
      <c r="N32" s="11"/>
      <c r="O32" s="11"/>
      <c r="P32" s="11"/>
    </row>
    <row r="33" spans="1:16" x14ac:dyDescent="0.3">
      <c r="A33">
        <v>2024</v>
      </c>
      <c r="B33" s="10">
        <v>45536</v>
      </c>
      <c r="C33" s="4">
        <v>13</v>
      </c>
      <c r="D33" s="4">
        <v>211.8</v>
      </c>
      <c r="E33" s="12">
        <f t="shared" si="1"/>
        <v>17</v>
      </c>
      <c r="F33" s="4">
        <v>1009.4</v>
      </c>
      <c r="G33" s="4">
        <v>18.7</v>
      </c>
      <c r="H33" s="4">
        <v>6.1</v>
      </c>
      <c r="I33" s="4">
        <v>1.5</v>
      </c>
      <c r="J33" s="11">
        <f t="shared" si="0"/>
        <v>30</v>
      </c>
      <c r="K33" s="11"/>
      <c r="L33" s="11"/>
      <c r="N33" s="11"/>
      <c r="O33" s="11"/>
      <c r="P33" s="11"/>
    </row>
    <row r="34" spans="1:16" x14ac:dyDescent="0.3">
      <c r="A34">
        <v>2024</v>
      </c>
      <c r="B34" s="10">
        <v>45566</v>
      </c>
      <c r="C34" s="4">
        <v>14</v>
      </c>
      <c r="D34" s="4">
        <v>61.6</v>
      </c>
      <c r="E34" s="12">
        <f t="shared" si="1"/>
        <v>17</v>
      </c>
      <c r="F34" s="4">
        <v>1009.3</v>
      </c>
      <c r="G34" s="4">
        <v>20.6</v>
      </c>
      <c r="H34" s="4">
        <v>5.7</v>
      </c>
      <c r="I34" s="4">
        <v>1.6</v>
      </c>
      <c r="J34" s="11">
        <f t="shared" si="0"/>
        <v>31</v>
      </c>
      <c r="K34" s="11"/>
      <c r="L34" s="11"/>
      <c r="N34" s="11"/>
      <c r="O34" s="11"/>
      <c r="P34" s="11"/>
    </row>
    <row r="35" spans="1:16" x14ac:dyDescent="0.3">
      <c r="A35">
        <v>2024</v>
      </c>
      <c r="B35" s="10">
        <v>45597</v>
      </c>
      <c r="C35" s="4">
        <v>14</v>
      </c>
      <c r="D35" s="4">
        <v>72.400000000000006</v>
      </c>
      <c r="E35" s="12">
        <f t="shared" si="1"/>
        <v>16</v>
      </c>
      <c r="F35" s="4">
        <v>1007.1</v>
      </c>
      <c r="G35" s="4">
        <v>23.1</v>
      </c>
      <c r="H35" s="4">
        <v>4.2</v>
      </c>
      <c r="I35" s="4">
        <v>1.6</v>
      </c>
      <c r="J35" s="11">
        <f t="shared" si="0"/>
        <v>30</v>
      </c>
      <c r="K35" s="11"/>
      <c r="L35" s="11"/>
      <c r="N35" s="11"/>
      <c r="O35" s="11"/>
      <c r="P35" s="11"/>
    </row>
    <row r="36" spans="1:16" x14ac:dyDescent="0.3">
      <c r="A36">
        <v>2024</v>
      </c>
      <c r="B36" s="10">
        <v>45627</v>
      </c>
      <c r="C36" s="4">
        <v>12</v>
      </c>
      <c r="D36" s="4">
        <v>240.4</v>
      </c>
      <c r="E36" s="12">
        <f t="shared" si="1"/>
        <v>19</v>
      </c>
      <c r="F36" s="4">
        <v>1005.8</v>
      </c>
      <c r="G36" s="4">
        <v>22.4</v>
      </c>
      <c r="H36" s="4">
        <v>5.3</v>
      </c>
      <c r="I36" s="4">
        <v>1.7</v>
      </c>
      <c r="J36" s="11">
        <f t="shared" si="0"/>
        <v>31</v>
      </c>
      <c r="K36" s="11"/>
      <c r="L36" s="11"/>
      <c r="N36" s="11"/>
      <c r="O36" s="11"/>
      <c r="P36" s="11"/>
    </row>
    <row r="37" spans="1:16" x14ac:dyDescent="0.3">
      <c r="A37">
        <v>2025</v>
      </c>
      <c r="B37" s="10">
        <v>45658</v>
      </c>
      <c r="C37" s="4">
        <v>13</v>
      </c>
      <c r="D37" s="4">
        <v>106.8</v>
      </c>
      <c r="E37" s="12">
        <f t="shared" si="1"/>
        <v>18</v>
      </c>
      <c r="F37" s="4">
        <v>1005.3</v>
      </c>
      <c r="G37" s="4">
        <v>25</v>
      </c>
      <c r="H37" s="4">
        <v>5.4</v>
      </c>
      <c r="I37" s="4">
        <v>1.6</v>
      </c>
      <c r="J37" s="11">
        <f t="shared" si="0"/>
        <v>31</v>
      </c>
      <c r="K37" s="11"/>
      <c r="L37" s="11"/>
      <c r="N37" s="11"/>
      <c r="O37" s="11"/>
      <c r="P37" s="11"/>
    </row>
    <row r="38" spans="1:16" x14ac:dyDescent="0.3">
      <c r="A38">
        <v>2025</v>
      </c>
      <c r="B38" s="10">
        <v>45689</v>
      </c>
      <c r="C38" s="4">
        <v>9</v>
      </c>
      <c r="D38" s="4">
        <v>137.6</v>
      </c>
      <c r="E38" s="12">
        <f t="shared" si="1"/>
        <v>19</v>
      </c>
      <c r="F38" s="4">
        <v>1006.5</v>
      </c>
      <c r="G38" s="4">
        <v>26.6</v>
      </c>
      <c r="H38" s="4">
        <v>3.7</v>
      </c>
      <c r="I38" s="4">
        <v>1.4</v>
      </c>
      <c r="J38" s="11">
        <f t="shared" si="0"/>
        <v>28</v>
      </c>
      <c r="K38" s="11"/>
      <c r="L38" s="11"/>
      <c r="N38" s="11"/>
      <c r="O38" s="11"/>
      <c r="P38" s="11"/>
    </row>
    <row r="39" spans="1:16" x14ac:dyDescent="0.3">
      <c r="A39">
        <v>2025</v>
      </c>
      <c r="B39" s="10">
        <v>45717</v>
      </c>
      <c r="C39" s="4">
        <v>5</v>
      </c>
      <c r="D39" s="4">
        <v>45.4</v>
      </c>
      <c r="E39" s="12">
        <f t="shared" si="1"/>
        <v>26</v>
      </c>
      <c r="F39" s="4">
        <v>1009.5</v>
      </c>
      <c r="G39" s="4">
        <v>25.2</v>
      </c>
      <c r="H39" s="4">
        <v>3.7</v>
      </c>
      <c r="I39" s="4">
        <v>1.3</v>
      </c>
      <c r="J39" s="11">
        <f t="shared" si="0"/>
        <v>31</v>
      </c>
      <c r="K39" s="11"/>
      <c r="L39" s="11"/>
      <c r="N39" s="11"/>
      <c r="O39" s="11"/>
      <c r="P39" s="11"/>
    </row>
    <row r="40" spans="1:16" x14ac:dyDescent="0.3">
      <c r="A40">
        <v>2025</v>
      </c>
      <c r="B40" s="10">
        <v>45748</v>
      </c>
      <c r="C40" s="4">
        <v>7</v>
      </c>
      <c r="D40" s="4">
        <v>67.8</v>
      </c>
      <c r="E40" s="12">
        <f t="shared" si="1"/>
        <v>23</v>
      </c>
      <c r="F40" s="4">
        <v>1010.6</v>
      </c>
      <c r="G40" s="4">
        <v>20.2</v>
      </c>
      <c r="H40" s="5"/>
      <c r="I40" s="5"/>
      <c r="J40" s="11">
        <f t="shared" si="0"/>
        <v>30</v>
      </c>
      <c r="K40" s="11"/>
      <c r="L40" s="11"/>
      <c r="N40" s="11"/>
      <c r="O40" s="11"/>
      <c r="P40" s="11"/>
    </row>
    <row r="41" spans="1:16" x14ac:dyDescent="0.3">
      <c r="A41">
        <v>2025</v>
      </c>
      <c r="B41" s="10">
        <v>45778</v>
      </c>
      <c r="C41" s="4">
        <v>9</v>
      </c>
      <c r="D41" s="5">
        <v>112.5</v>
      </c>
      <c r="E41" s="12">
        <f t="shared" si="1"/>
        <v>22</v>
      </c>
      <c r="F41" s="4">
        <v>1012.7</v>
      </c>
      <c r="G41" s="4">
        <v>17.600000000000001</v>
      </c>
      <c r="H41" s="4">
        <v>3.4</v>
      </c>
      <c r="I41" s="5"/>
      <c r="J41" s="11">
        <f t="shared" si="0"/>
        <v>31</v>
      </c>
      <c r="K41" s="11"/>
      <c r="L41" s="11"/>
      <c r="N41" s="11"/>
      <c r="O41" s="11"/>
      <c r="P41" s="11"/>
    </row>
    <row r="42" spans="1:16" x14ac:dyDescent="0.3">
      <c r="A42">
        <v>2025</v>
      </c>
      <c r="B42" s="10">
        <v>45809</v>
      </c>
      <c r="C42" s="4">
        <v>17</v>
      </c>
      <c r="D42" s="4">
        <v>262</v>
      </c>
      <c r="E42" s="12">
        <f t="shared" si="1"/>
        <v>13</v>
      </c>
      <c r="F42" s="4">
        <v>1013.4</v>
      </c>
      <c r="G42" s="4">
        <v>13.3</v>
      </c>
      <c r="H42" s="4">
        <v>3.7</v>
      </c>
      <c r="I42" s="4">
        <v>0.8</v>
      </c>
      <c r="J42" s="11">
        <f t="shared" si="0"/>
        <v>30</v>
      </c>
      <c r="K42" s="11"/>
      <c r="L42" s="11"/>
      <c r="N42" s="11"/>
      <c r="O42" s="11"/>
      <c r="P42" s="11"/>
    </row>
    <row r="43" spans="1:16" x14ac:dyDescent="0.3">
      <c r="A43">
        <v>2025</v>
      </c>
      <c r="B43" s="10">
        <v>45839</v>
      </c>
      <c r="C43" s="4">
        <v>11</v>
      </c>
      <c r="D43" s="4">
        <v>91.2</v>
      </c>
      <c r="E43" s="12">
        <f t="shared" si="1"/>
        <v>20</v>
      </c>
      <c r="F43" s="4">
        <v>1017.3</v>
      </c>
      <c r="G43" s="4">
        <v>13.1</v>
      </c>
      <c r="H43" s="4">
        <v>3.5</v>
      </c>
      <c r="I43" s="4">
        <v>0.8</v>
      </c>
      <c r="J43" s="11">
        <f t="shared" si="0"/>
        <v>31</v>
      </c>
      <c r="K43" s="11"/>
      <c r="L43" s="11"/>
      <c r="N43" s="11"/>
      <c r="O43" s="11"/>
      <c r="P43" s="11"/>
    </row>
    <row r="44" spans="1:16" x14ac:dyDescent="0.3">
      <c r="A44">
        <v>2025</v>
      </c>
      <c r="B44" s="10">
        <v>45870</v>
      </c>
      <c r="C44" s="4">
        <v>14</v>
      </c>
      <c r="D44" s="4">
        <v>211.6</v>
      </c>
      <c r="E44" s="12">
        <f t="shared" si="1"/>
        <v>17</v>
      </c>
      <c r="F44" s="4">
        <v>1014.8</v>
      </c>
      <c r="G44" s="4">
        <v>15.5</v>
      </c>
      <c r="H44" s="4">
        <v>3.3</v>
      </c>
      <c r="I44" s="4">
        <v>0.9</v>
      </c>
      <c r="J44" s="11">
        <f t="shared" si="0"/>
        <v>31</v>
      </c>
      <c r="K44" s="11"/>
      <c r="L44" s="11"/>
      <c r="N44" s="11"/>
      <c r="O44" s="11"/>
      <c r="P44" s="11"/>
    </row>
    <row r="45" spans="1:16" x14ac:dyDescent="0.3">
      <c r="A45">
        <v>2025</v>
      </c>
      <c r="B45" s="10">
        <v>45901</v>
      </c>
      <c r="C45" s="4">
        <v>13</v>
      </c>
      <c r="D45" s="4">
        <v>197.6</v>
      </c>
      <c r="E45" s="12">
        <f t="shared" si="1"/>
        <v>17</v>
      </c>
      <c r="F45" s="4">
        <v>1014.3</v>
      </c>
      <c r="G45" s="4">
        <v>17.7</v>
      </c>
      <c r="H45" s="4">
        <v>4.4000000000000004</v>
      </c>
      <c r="I45" s="4">
        <v>1.3</v>
      </c>
      <c r="J45" s="11">
        <f t="shared" si="0"/>
        <v>30</v>
      </c>
      <c r="K45" s="11"/>
      <c r="L45" s="11"/>
      <c r="N45" s="11"/>
      <c r="O45" s="11"/>
      <c r="P45" s="11"/>
    </row>
    <row r="46" spans="1:16" x14ac:dyDescent="0.3">
      <c r="A46">
        <v>2025</v>
      </c>
      <c r="B46" s="10">
        <v>45931</v>
      </c>
      <c r="C46" s="4">
        <v>13</v>
      </c>
      <c r="D46" s="4">
        <v>124.2</v>
      </c>
      <c r="E46" s="12">
        <f t="shared" si="1"/>
        <v>18</v>
      </c>
      <c r="F46" s="4">
        <v>1013.3</v>
      </c>
      <c r="G46" s="4">
        <v>19.899999999999999</v>
      </c>
      <c r="H46" s="4">
        <v>4.7</v>
      </c>
      <c r="I46" s="4">
        <v>1.6</v>
      </c>
      <c r="J46" s="11">
        <f t="shared" si="0"/>
        <v>31</v>
      </c>
      <c r="K46" s="11"/>
      <c r="L46" s="11"/>
      <c r="N46" s="11"/>
      <c r="O46" s="11"/>
      <c r="P46" s="11"/>
    </row>
    <row r="47" spans="1:16" x14ac:dyDescent="0.3">
      <c r="A47">
        <v>2025</v>
      </c>
      <c r="B47" s="10">
        <v>45962</v>
      </c>
      <c r="C47" s="4">
        <v>6</v>
      </c>
      <c r="D47" s="4">
        <v>50.9</v>
      </c>
      <c r="E47" s="12">
        <f t="shared" si="1"/>
        <v>24</v>
      </c>
      <c r="F47" s="4">
        <v>1012.4</v>
      </c>
      <c r="G47" s="4">
        <v>21.4</v>
      </c>
      <c r="H47" s="4">
        <v>5.8</v>
      </c>
      <c r="I47" s="4">
        <v>1.7</v>
      </c>
      <c r="J47" s="11">
        <f t="shared" si="0"/>
        <v>30</v>
      </c>
      <c r="K47" s="11"/>
      <c r="L47" s="11"/>
      <c r="N47" s="11"/>
      <c r="O47" s="11"/>
      <c r="P47" s="11"/>
    </row>
    <row r="48" spans="1:16" x14ac:dyDescent="0.3">
      <c r="A48">
        <v>2025</v>
      </c>
      <c r="B48" s="10">
        <v>45992</v>
      </c>
      <c r="C48" s="4">
        <v>10</v>
      </c>
      <c r="D48" s="4">
        <v>149.80000000000001</v>
      </c>
      <c r="E48" s="12">
        <f t="shared" si="1"/>
        <v>21</v>
      </c>
      <c r="F48" s="4">
        <v>1010.7</v>
      </c>
      <c r="G48" s="4">
        <v>24.9</v>
      </c>
      <c r="H48" s="4">
        <v>5.0999999999999996</v>
      </c>
      <c r="I48" s="4">
        <v>1.6</v>
      </c>
      <c r="J48" s="11">
        <f t="shared" si="0"/>
        <v>31</v>
      </c>
      <c r="K48" s="11"/>
      <c r="L48" s="11"/>
      <c r="N48" s="11"/>
      <c r="O48" s="11"/>
      <c r="P48" s="11"/>
    </row>
    <row r="49" spans="1:16" x14ac:dyDescent="0.3">
      <c r="A49">
        <v>2026</v>
      </c>
      <c r="B49" s="10">
        <v>46023</v>
      </c>
      <c r="C49" s="4">
        <v>6</v>
      </c>
      <c r="D49" s="4">
        <v>81.900000000000006</v>
      </c>
      <c r="E49" s="12">
        <f t="shared" si="1"/>
        <v>25</v>
      </c>
      <c r="F49" s="4">
        <v>1015.1</v>
      </c>
      <c r="G49" s="4">
        <v>25</v>
      </c>
      <c r="H49" s="4">
        <v>4.8</v>
      </c>
      <c r="I49" s="4">
        <v>1.5</v>
      </c>
      <c r="J49" s="11">
        <f t="shared" si="0"/>
        <v>31</v>
      </c>
      <c r="K49" s="11"/>
      <c r="L49" s="11"/>
      <c r="N49" s="11"/>
      <c r="O49" s="11"/>
      <c r="P49" s="11"/>
    </row>
    <row r="50" spans="1:16" x14ac:dyDescent="0.3">
      <c r="A50">
        <v>2026</v>
      </c>
      <c r="B50" s="10">
        <v>46054</v>
      </c>
      <c r="C50" s="4">
        <v>9</v>
      </c>
      <c r="D50" s="4">
        <v>40.799999999999997</v>
      </c>
      <c r="E50" s="12">
        <f t="shared" si="1"/>
        <v>19</v>
      </c>
      <c r="F50" s="4">
        <v>1009.4</v>
      </c>
      <c r="G50" s="4">
        <v>25.1</v>
      </c>
      <c r="H50" s="4">
        <v>4</v>
      </c>
      <c r="I50" s="4">
        <v>1.5</v>
      </c>
      <c r="J50" s="11">
        <f t="shared" si="0"/>
        <v>28</v>
      </c>
      <c r="K50" s="11"/>
      <c r="L50" s="11"/>
      <c r="N50" s="11"/>
      <c r="O50" s="11"/>
      <c r="P50" s="11"/>
    </row>
    <row r="51" spans="1:16" x14ac:dyDescent="0.3">
      <c r="A51">
        <v>2026</v>
      </c>
      <c r="B51" s="10">
        <v>46082</v>
      </c>
      <c r="C51" s="4">
        <v>16</v>
      </c>
      <c r="D51" s="4">
        <v>107.8</v>
      </c>
      <c r="E51" s="12">
        <f t="shared" si="1"/>
        <v>15</v>
      </c>
      <c r="F51" s="5"/>
      <c r="G51" s="4">
        <v>24.8</v>
      </c>
      <c r="H51" s="4">
        <v>3.6</v>
      </c>
      <c r="I51" s="4">
        <v>1.4</v>
      </c>
      <c r="J51" s="11">
        <f t="shared" si="0"/>
        <v>31</v>
      </c>
      <c r="K51" s="11"/>
      <c r="L51" s="11"/>
      <c r="N51" s="11"/>
      <c r="O51" s="11"/>
      <c r="P51" s="11"/>
    </row>
    <row r="52" spans="1:16" x14ac:dyDescent="0.3">
      <c r="A52">
        <v>2026</v>
      </c>
      <c r="B52" s="10">
        <v>46113</v>
      </c>
      <c r="C52" s="4">
        <v>10</v>
      </c>
      <c r="D52" s="4">
        <v>90</v>
      </c>
      <c r="E52" s="12">
        <f t="shared" si="1"/>
        <v>20</v>
      </c>
      <c r="F52" s="4">
        <v>1009.2</v>
      </c>
      <c r="G52" s="4">
        <v>21.8</v>
      </c>
      <c r="H52" s="4">
        <v>4.8</v>
      </c>
      <c r="I52" s="4">
        <v>1.4</v>
      </c>
      <c r="J52" s="11">
        <f t="shared" si="0"/>
        <v>30</v>
      </c>
      <c r="K52" s="11"/>
      <c r="L52" s="11"/>
      <c r="N52" s="11"/>
      <c r="O52" s="11"/>
      <c r="P52" s="11"/>
    </row>
    <row r="53" spans="1:16" x14ac:dyDescent="0.3">
      <c r="A53">
        <v>2026</v>
      </c>
      <c r="B53" s="10">
        <v>46143</v>
      </c>
      <c r="C53" s="4">
        <v>8</v>
      </c>
      <c r="D53" s="4">
        <v>84.2</v>
      </c>
      <c r="E53" s="12">
        <f t="shared" si="1"/>
        <v>23</v>
      </c>
      <c r="F53" s="4">
        <v>1014.1</v>
      </c>
      <c r="G53" s="4">
        <v>16.100000000000001</v>
      </c>
      <c r="H53" s="4">
        <v>4.3</v>
      </c>
      <c r="I53" s="4">
        <v>1.4</v>
      </c>
      <c r="J53" s="11">
        <f t="shared" si="0"/>
        <v>31</v>
      </c>
      <c r="K53" s="11"/>
      <c r="L53" s="11"/>
      <c r="N53" s="11"/>
      <c r="O53" s="11"/>
      <c r="P53" s="11"/>
    </row>
    <row r="54" spans="1:16" x14ac:dyDescent="0.3">
      <c r="A54">
        <v>2026</v>
      </c>
      <c r="B54" s="10">
        <v>46174</v>
      </c>
      <c r="C54" s="4">
        <v>7</v>
      </c>
      <c r="D54" s="4">
        <v>21.8</v>
      </c>
      <c r="E54" s="12">
        <f t="shared" si="1"/>
        <v>23</v>
      </c>
      <c r="F54" s="4">
        <v>1014.6</v>
      </c>
      <c r="G54" s="4">
        <v>13.7</v>
      </c>
      <c r="H54" s="5"/>
      <c r="I54" s="5"/>
      <c r="J54" s="11">
        <f t="shared" si="0"/>
        <v>30</v>
      </c>
      <c r="K54" s="11"/>
      <c r="L54" s="11"/>
      <c r="N54" s="11"/>
      <c r="O54" s="11"/>
      <c r="P54" s="11"/>
    </row>
  </sheetData>
  <autoFilter ref="B12:I54" xr:uid="{00000000-0001-0000-0000-000000000000}"/>
  <phoneticPr fontId="4" type="noConversion"/>
  <conditionalFormatting pivot="1" sqref="N14:R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6DE3-9FA7-4723-AB40-581EDAE75A72}">
  <dimension ref="A1"/>
  <sheetViews>
    <sheetView showGridLines="0" topLeftCell="A16" zoomScaleNormal="100" workbookViewId="0">
      <selection activeCell="XFD2" sqref="XFD2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Porto Alegre (A801)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Vitor Garcia</cp:lastModifiedBy>
  <cp:revision>0</cp:revision>
  <dcterms:created xsi:type="dcterms:W3CDTF">2026-08-26T12:15:25Z</dcterms:created>
  <dcterms:modified xsi:type="dcterms:W3CDTF">2026-09-14T12:21:29Z</dcterms:modified>
  <dc:language>en-US</dc:language>
</cp:coreProperties>
</file>