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24a4e3d3d1b5489/Desktop/Inconfidência/ddos meteorlógicos/"/>
    </mc:Choice>
  </mc:AlternateContent>
  <xr:revisionPtr revIDLastSave="0" documentId="8_{A1B86184-D727-4EAB-A1EC-E8CF816194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ispersão Piso x Temp" sheetId="1" r:id="rId1"/>
  </sheets>
  <definedNames>
    <definedName name="_xlnm._FilterDatabase" localSheetId="0" hidden="1">'Dispersão Piso x Temp'!$A$1:$C$1</definedName>
  </definedNames>
  <calcPr calcId="191029" iterateDelta="1E-4"/>
  <pivotCaches>
    <pivotCache cacheId="1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6" i="1" l="1"/>
  <c r="L66" i="1"/>
  <c r="M66" i="1"/>
  <c r="N66" i="1"/>
  <c r="J66" i="1"/>
  <c r="O65" i="1"/>
  <c r="K65" i="1"/>
  <c r="L65" i="1"/>
  <c r="M65" i="1"/>
  <c r="N65" i="1"/>
  <c r="J65" i="1"/>
  <c r="G1" i="1"/>
</calcChain>
</file>

<file path=xl/sharedStrings.xml><?xml version="1.0" encoding="utf-8"?>
<sst xmlns="http://schemas.openxmlformats.org/spreadsheetml/2006/main" count="105" uniqueCount="56">
  <si>
    <t>Ano-Mês</t>
  </si>
  <si>
    <t>Qtde Tratamento de Piso</t>
  </si>
  <si>
    <t>Temperatura Média Mensal (C)</t>
  </si>
  <si>
    <t>Correlação (r):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</si>
  <si>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</si>
  <si>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</si>
  <si>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</si>
  <si>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</si>
  <si>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</si>
  <si>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</si>
  <si>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</si>
  <si>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</si>
  <si>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</si>
  <si>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</si>
  <si>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</si>
  <si>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</si>
  <si>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</si>
  <si>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</si>
  <si>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</si>
  <si>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</si>
  <si>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</si>
  <si>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</si>
  <si>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</si>
  <si>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</si>
  <si>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</si>
  <si>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</si>
  <si>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</si>
  <si>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</si>
  <si>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</si>
  <si>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</si>
  <si>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</si>
  <si>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</si>
  <si>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</si>
  <si>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</si>
  <si>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</si>
  <si>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</si>
  <si>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</si>
  <si>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</si>
  <si>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</si>
  <si>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</si>
  <si>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</si>
  <si>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</si>
  <si>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</si>
  <si>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</si>
  <si>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</si>
  <si>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</si>
  <si>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</si>
  <si>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Rótulos de Linha</t>
  </si>
  <si>
    <t>Total Geral</t>
  </si>
  <si>
    <t>Soma de Qtde Tratamento de Piso</t>
  </si>
  <si>
    <t>Rótulos de Coluna</t>
  </si>
  <si>
    <t>13.1-16.1</t>
  </si>
  <si>
    <t>16.1-19.1</t>
  </si>
  <si>
    <t>19.1-22.1</t>
  </si>
  <si>
    <t>22.1-25.1</t>
  </si>
  <si>
    <t>25.1-28.1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</si>
</sst>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Qtde Tratamento de Piso x Temperatura</a:t>
            </a:r>
            <a:r>
              <a:rPr lang="en-US" baseline="0"/>
              <a:t> Média (C)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'Dispersão Piso x Temp'!$C$1</c:f>
              <c:strCache>
                <c:ptCount val="1"/>
                <c:pt idx="0">
                  <c:v>Qtde Tratamento de Piso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'Dispersão Piso x Temp'!$B$2:$B$44</c:f>
              <c:numCache>
                <c:formatCode>General</c:formatCode>
                <c:ptCount val="43"/>
                <c:pt idx="0">
                  <c:v>26.1</c:v>
                </c:pt>
                <c:pt idx="1">
                  <c:v>24.7</c:v>
                </c:pt>
                <c:pt idx="2">
                  <c:v>25.4</c:v>
                </c:pt>
                <c:pt idx="3">
                  <c:v>20.6</c:v>
                </c:pt>
                <c:pt idx="4">
                  <c:v>18.3</c:v>
                </c:pt>
                <c:pt idx="5">
                  <c:v>16.3</c:v>
                </c:pt>
                <c:pt idx="6">
                  <c:v>15.5</c:v>
                </c:pt>
                <c:pt idx="7">
                  <c:v>16.7</c:v>
                </c:pt>
                <c:pt idx="8">
                  <c:v>18.3</c:v>
                </c:pt>
                <c:pt idx="9">
                  <c:v>19</c:v>
                </c:pt>
                <c:pt idx="10">
                  <c:v>21.2</c:v>
                </c:pt>
                <c:pt idx="11">
                  <c:v>24.5</c:v>
                </c:pt>
                <c:pt idx="12">
                  <c:v>24.3</c:v>
                </c:pt>
                <c:pt idx="13">
                  <c:v>25.9</c:v>
                </c:pt>
                <c:pt idx="14">
                  <c:v>24.5</c:v>
                </c:pt>
                <c:pt idx="15">
                  <c:v>21.6</c:v>
                </c:pt>
                <c:pt idx="16">
                  <c:v>16.7</c:v>
                </c:pt>
                <c:pt idx="17">
                  <c:v>17.399999999999999</c:v>
                </c:pt>
                <c:pt idx="18">
                  <c:v>13.7</c:v>
                </c:pt>
                <c:pt idx="19">
                  <c:v>15.6</c:v>
                </c:pt>
                <c:pt idx="20">
                  <c:v>18.7</c:v>
                </c:pt>
                <c:pt idx="21">
                  <c:v>20.6</c:v>
                </c:pt>
                <c:pt idx="22">
                  <c:v>23.1</c:v>
                </c:pt>
                <c:pt idx="23">
                  <c:v>22.4</c:v>
                </c:pt>
                <c:pt idx="24">
                  <c:v>25</c:v>
                </c:pt>
                <c:pt idx="25">
                  <c:v>26.6</c:v>
                </c:pt>
                <c:pt idx="26">
                  <c:v>25.2</c:v>
                </c:pt>
                <c:pt idx="27">
                  <c:v>20.2</c:v>
                </c:pt>
                <c:pt idx="28">
                  <c:v>17.600000000000001</c:v>
                </c:pt>
                <c:pt idx="29">
                  <c:v>13.3</c:v>
                </c:pt>
                <c:pt idx="30">
                  <c:v>13.1</c:v>
                </c:pt>
                <c:pt idx="31">
                  <c:v>15.5</c:v>
                </c:pt>
                <c:pt idx="32">
                  <c:v>17.7</c:v>
                </c:pt>
                <c:pt idx="33">
                  <c:v>19.899999999999999</c:v>
                </c:pt>
                <c:pt idx="34">
                  <c:v>21.4</c:v>
                </c:pt>
                <c:pt idx="35">
                  <c:v>24.9</c:v>
                </c:pt>
                <c:pt idx="36">
                  <c:v>25</c:v>
                </c:pt>
                <c:pt idx="37">
                  <c:v>25.1</c:v>
                </c:pt>
                <c:pt idx="38">
                  <c:v>24.8</c:v>
                </c:pt>
                <c:pt idx="39">
                  <c:v>21.8</c:v>
                </c:pt>
                <c:pt idx="40">
                  <c:v>16.100000000000001</c:v>
                </c:pt>
                <c:pt idx="41">
                  <c:v>13.7</c:v>
                </c:pt>
                <c:pt idx="42">
                  <c:v>14.5</c:v>
                </c:pt>
              </c:numCache>
            </c:numRef>
          </c:xVal>
          <c:yVal>
            <c:numRef>
              <c:f>'Dispersão Piso x Temp'!$C$2:$C$44</c:f>
              <c:numCache>
                <c:formatCode>General</c:formatCode>
                <c:ptCount val="43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13</c:v>
                </c:pt>
                <c:pt idx="4">
                  <c:v>16</c:v>
                </c:pt>
                <c:pt idx="5">
                  <c:v>9</c:v>
                </c:pt>
                <c:pt idx="6">
                  <c:v>19</c:v>
                </c:pt>
                <c:pt idx="7">
                  <c:v>27</c:v>
                </c:pt>
                <c:pt idx="8">
                  <c:v>21</c:v>
                </c:pt>
                <c:pt idx="9">
                  <c:v>16</c:v>
                </c:pt>
                <c:pt idx="10">
                  <c:v>23</c:v>
                </c:pt>
                <c:pt idx="11">
                  <c:v>15</c:v>
                </c:pt>
                <c:pt idx="12">
                  <c:v>14</c:v>
                </c:pt>
                <c:pt idx="13">
                  <c:v>6</c:v>
                </c:pt>
                <c:pt idx="14">
                  <c:v>11</c:v>
                </c:pt>
                <c:pt idx="15">
                  <c:v>19</c:v>
                </c:pt>
                <c:pt idx="16">
                  <c:v>21</c:v>
                </c:pt>
                <c:pt idx="17">
                  <c:v>16</c:v>
                </c:pt>
                <c:pt idx="18">
                  <c:v>23</c:v>
                </c:pt>
                <c:pt idx="19">
                  <c:v>33</c:v>
                </c:pt>
                <c:pt idx="20">
                  <c:v>27</c:v>
                </c:pt>
                <c:pt idx="21">
                  <c:v>17</c:v>
                </c:pt>
                <c:pt idx="22">
                  <c:v>25</c:v>
                </c:pt>
                <c:pt idx="23">
                  <c:v>17</c:v>
                </c:pt>
                <c:pt idx="24">
                  <c:v>14</c:v>
                </c:pt>
                <c:pt idx="25">
                  <c:v>8</c:v>
                </c:pt>
                <c:pt idx="26">
                  <c:v>7</c:v>
                </c:pt>
                <c:pt idx="27">
                  <c:v>19</c:v>
                </c:pt>
                <c:pt idx="28">
                  <c:v>26</c:v>
                </c:pt>
                <c:pt idx="29">
                  <c:v>12</c:v>
                </c:pt>
                <c:pt idx="30">
                  <c:v>26</c:v>
                </c:pt>
                <c:pt idx="31">
                  <c:v>33</c:v>
                </c:pt>
                <c:pt idx="32">
                  <c:v>24</c:v>
                </c:pt>
                <c:pt idx="33">
                  <c:v>18</c:v>
                </c:pt>
                <c:pt idx="34">
                  <c:v>26</c:v>
                </c:pt>
                <c:pt idx="35">
                  <c:v>20</c:v>
                </c:pt>
                <c:pt idx="36">
                  <c:v>9</c:v>
                </c:pt>
                <c:pt idx="37">
                  <c:v>4</c:v>
                </c:pt>
                <c:pt idx="38">
                  <c:v>10</c:v>
                </c:pt>
                <c:pt idx="39">
                  <c:v>23</c:v>
                </c:pt>
                <c:pt idx="40">
                  <c:v>25</c:v>
                </c:pt>
                <c:pt idx="41">
                  <c:v>13</c:v>
                </c:pt>
                <c:pt idx="4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7-48D9-898E-98D131A8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481503"/>
        <c:axId val="2039048127"/>
      </c:scatterChart>
      <c:valAx>
        <c:axId val="1609481503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48127"/>
        <c:crosses val="autoZero"/>
        <c:crossBetween val="midCat"/>
      </c:valAx>
      <c:valAx>
        <c:axId val="203904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8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20</xdr:row>
      <xdr:rowOff>144780</xdr:rowOff>
    </xdr:from>
    <xdr:to>
      <xdr:col>21</xdr:col>
      <xdr:colOff>0</xdr:colOff>
      <xdr:row>37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2002C58-FD52-7379-3619-99965A6E7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Garcia" refreshedDate="46273.681135185187" createdVersion="8" refreshedVersion="8" minRefreshableVersion="3" recordCount="43" xr:uid="{B4558D27-3D25-4719-8E8A-246BD4997AF3}">
  <cacheSource type="worksheet">
    <worksheetSource ref="A1:C44" sheet="Dispersão Piso x Temp"/>
  </cacheSource>
  <cacheFields count="3">
    <cacheField name="Ano-Mês" numFmtId="0">
      <sharedItems count="43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</sharedItems>
    </cacheField>
    <cacheField name="Qtde Tratamento de Piso" numFmtId="0">
      <sharedItems containsSemiMixedTypes="0" containsString="0" containsNumber="1" containsInteger="1" minValue="4" maxValue="33"/>
    </cacheField>
    <cacheField name="Temperatura Média Mensal (C)" numFmtId="0">
      <sharedItems containsSemiMixedTypes="0" containsString="0" containsNumber="1" minValue="13.1" maxValue="26.6" count="36">
        <n v="26.1"/>
        <n v="24.7"/>
        <n v="25.4"/>
        <n v="20.6"/>
        <n v="18.3"/>
        <n v="16.3"/>
        <n v="15.5"/>
        <n v="16.7"/>
        <n v="19"/>
        <n v="21.2"/>
        <n v="24.5"/>
        <n v="24.3"/>
        <n v="25.9"/>
        <n v="21.6"/>
        <n v="17.399999999999999"/>
        <n v="13.7"/>
        <n v="15.6"/>
        <n v="18.7"/>
        <n v="23.1"/>
        <n v="22.4"/>
        <n v="25"/>
        <n v="26.6"/>
        <n v="25.2"/>
        <n v="20.2"/>
        <n v="17.600000000000001"/>
        <n v="13.3"/>
        <n v="13.1"/>
        <n v="17.7"/>
        <n v="19.899999999999999"/>
        <n v="21.4"/>
        <n v="24.9"/>
        <n v="25.1"/>
        <n v="24.8"/>
        <n v="21.8"/>
        <n v="16.100000000000001"/>
        <n v="14.5"/>
      </sharedItems>
      <fieldGroup base="2">
        <rangePr startNum="13.1" endNum="26.6" groupInterval="3"/>
        <groupItems count="7">
          <s v="&lt;13.1"/>
          <s v="13.1-16.1"/>
          <s v="16.1-19.1"/>
          <s v="19.1-22.1"/>
          <s v="22.1-25.1"/>
          <s v="25.1-28.1"/>
          <s v="&gt;28.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n v="9"/>
    <x v="0"/>
  </r>
  <r>
    <x v="1"/>
    <n v="8"/>
    <x v="1"/>
  </r>
  <r>
    <x v="2"/>
    <n v="8"/>
    <x v="2"/>
  </r>
  <r>
    <x v="3"/>
    <n v="13"/>
    <x v="3"/>
  </r>
  <r>
    <x v="4"/>
    <n v="16"/>
    <x v="4"/>
  </r>
  <r>
    <x v="5"/>
    <n v="9"/>
    <x v="5"/>
  </r>
  <r>
    <x v="6"/>
    <n v="19"/>
    <x v="6"/>
  </r>
  <r>
    <x v="7"/>
    <n v="27"/>
    <x v="7"/>
  </r>
  <r>
    <x v="8"/>
    <n v="21"/>
    <x v="4"/>
  </r>
  <r>
    <x v="9"/>
    <n v="16"/>
    <x v="8"/>
  </r>
  <r>
    <x v="10"/>
    <n v="23"/>
    <x v="9"/>
  </r>
  <r>
    <x v="11"/>
    <n v="15"/>
    <x v="10"/>
  </r>
  <r>
    <x v="12"/>
    <n v="14"/>
    <x v="11"/>
  </r>
  <r>
    <x v="13"/>
    <n v="6"/>
    <x v="12"/>
  </r>
  <r>
    <x v="14"/>
    <n v="11"/>
    <x v="10"/>
  </r>
  <r>
    <x v="15"/>
    <n v="19"/>
    <x v="13"/>
  </r>
  <r>
    <x v="16"/>
    <n v="21"/>
    <x v="7"/>
  </r>
  <r>
    <x v="17"/>
    <n v="16"/>
    <x v="14"/>
  </r>
  <r>
    <x v="18"/>
    <n v="23"/>
    <x v="15"/>
  </r>
  <r>
    <x v="19"/>
    <n v="33"/>
    <x v="16"/>
  </r>
  <r>
    <x v="20"/>
    <n v="27"/>
    <x v="17"/>
  </r>
  <r>
    <x v="21"/>
    <n v="17"/>
    <x v="3"/>
  </r>
  <r>
    <x v="22"/>
    <n v="25"/>
    <x v="18"/>
  </r>
  <r>
    <x v="23"/>
    <n v="17"/>
    <x v="19"/>
  </r>
  <r>
    <x v="24"/>
    <n v="14"/>
    <x v="20"/>
  </r>
  <r>
    <x v="25"/>
    <n v="8"/>
    <x v="21"/>
  </r>
  <r>
    <x v="26"/>
    <n v="7"/>
    <x v="22"/>
  </r>
  <r>
    <x v="27"/>
    <n v="19"/>
    <x v="23"/>
  </r>
  <r>
    <x v="28"/>
    <n v="26"/>
    <x v="24"/>
  </r>
  <r>
    <x v="29"/>
    <n v="12"/>
    <x v="25"/>
  </r>
  <r>
    <x v="30"/>
    <n v="26"/>
    <x v="26"/>
  </r>
  <r>
    <x v="31"/>
    <n v="33"/>
    <x v="6"/>
  </r>
  <r>
    <x v="32"/>
    <n v="24"/>
    <x v="27"/>
  </r>
  <r>
    <x v="33"/>
    <n v="18"/>
    <x v="28"/>
  </r>
  <r>
    <x v="34"/>
    <n v="26"/>
    <x v="29"/>
  </r>
  <r>
    <x v="35"/>
    <n v="20"/>
    <x v="30"/>
  </r>
  <r>
    <x v="36"/>
    <n v="9"/>
    <x v="20"/>
  </r>
  <r>
    <x v="37"/>
    <n v="4"/>
    <x v="31"/>
  </r>
  <r>
    <x v="38"/>
    <n v="10"/>
    <x v="32"/>
  </r>
  <r>
    <x v="39"/>
    <n v="23"/>
    <x v="33"/>
  </r>
  <r>
    <x v="40"/>
    <n v="25"/>
    <x v="34"/>
  </r>
  <r>
    <x v="41"/>
    <n v="13"/>
    <x v="15"/>
  </r>
  <r>
    <x v="42"/>
    <n v="24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20B51-5F43-4295-B22E-0EE9114B7EF8}" name="Tabela dinâ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3:G108" firstHeaderRow="1" firstDataRow="2" firstDataCol="1"/>
  <pivotFields count="3">
    <pivotField axis="axisRow" showAll="0" sortType="ascending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44">
    <i>
      <x v="37"/>
    </i>
    <i>
      <x v="13"/>
    </i>
    <i>
      <x v="26"/>
    </i>
    <i>
      <x v="2"/>
    </i>
    <i>
      <x v="25"/>
    </i>
    <i>
      <x v="1"/>
    </i>
    <i>
      <x/>
    </i>
    <i>
      <x v="36"/>
    </i>
    <i>
      <x v="5"/>
    </i>
    <i>
      <x v="38"/>
    </i>
    <i>
      <x v="14"/>
    </i>
    <i>
      <x v="29"/>
    </i>
    <i>
      <x v="3"/>
    </i>
    <i>
      <x v="41"/>
    </i>
    <i>
      <x v="24"/>
    </i>
    <i>
      <x v="12"/>
    </i>
    <i>
      <x v="11"/>
    </i>
    <i>
      <x v="9"/>
    </i>
    <i>
      <x v="17"/>
    </i>
    <i>
      <x v="4"/>
    </i>
    <i>
      <x v="21"/>
    </i>
    <i>
      <x v="23"/>
    </i>
    <i>
      <x v="33"/>
    </i>
    <i>
      <x v="6"/>
    </i>
    <i>
      <x v="27"/>
    </i>
    <i>
      <x v="15"/>
    </i>
    <i>
      <x v="35"/>
    </i>
    <i>
      <x v="16"/>
    </i>
    <i>
      <x v="8"/>
    </i>
    <i>
      <x v="10"/>
    </i>
    <i>
      <x v="39"/>
    </i>
    <i>
      <x v="18"/>
    </i>
    <i>
      <x v="32"/>
    </i>
    <i>
      <x v="42"/>
    </i>
    <i>
      <x v="40"/>
    </i>
    <i>
      <x v="22"/>
    </i>
    <i>
      <x v="30"/>
    </i>
    <i>
      <x v="28"/>
    </i>
    <i>
      <x v="34"/>
    </i>
    <i>
      <x v="7"/>
    </i>
    <i>
      <x v="20"/>
    </i>
    <i>
      <x v="31"/>
    </i>
    <i>
      <x v="19"/>
    </i>
    <i t="grand">
      <x/>
    </i>
  </rowItems>
  <colFields count="1">
    <field x="2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oma de Qtde Tratamento de Piso" fld="1" baseField="0" baseItem="0"/>
  </dataFields>
  <formats count="1">
    <format dxfId="0">
      <pivotArea dataOnly="0" labelOnly="1" fieldPosition="0">
        <references count="1">
          <reference field="2" count="5">
            <x v="1"/>
            <x v="2"/>
            <x v="3"/>
            <x v="4"/>
            <x v="5"/>
          </reference>
        </references>
      </pivotArea>
    </format>
  </format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4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zoomScaleNormal="100" workbookViewId="0">
      <pane ySplit="1" topLeftCell="A17" activePane="bottomLeft" state="frozen"/>
      <selection pane="bottomLeft" activeCell="L18" sqref="L18"/>
    </sheetView>
  </sheetViews>
  <sheetFormatPr defaultColWidth="8.6640625" defaultRowHeight="14.4" x14ac:dyDescent="0.3"/>
  <cols>
    <col min="1" max="1" width="30.21875" bestFit="1" customWidth="1"/>
    <col min="2" max="2" width="18.5546875" bestFit="1" customWidth="1"/>
    <col min="3" max="3" width="18.5546875" customWidth="1"/>
    <col min="4" max="6" width="8.77734375" bestFit="1" customWidth="1"/>
    <col min="7" max="7" width="12.6640625" bestFit="1" customWidth="1"/>
    <col min="8" max="8" width="10" bestFit="1" customWidth="1"/>
    <col min="9" max="9" width="5" bestFit="1" customWidth="1"/>
    <col min="10" max="10" width="8.21875" bestFit="1" customWidth="1"/>
    <col min="11" max="11" width="8.77734375" customWidth="1"/>
    <col min="12" max="14" width="8.77734375" bestFit="1" customWidth="1"/>
    <col min="15" max="16" width="5" bestFit="1" customWidth="1"/>
    <col min="17" max="17" width="3" bestFit="1" customWidth="1"/>
    <col min="18" max="31" width="5" bestFit="1" customWidth="1"/>
    <col min="32" max="32" width="3" bestFit="1" customWidth="1"/>
    <col min="33" max="38" width="5" bestFit="1" customWidth="1"/>
    <col min="39" max="39" width="10" bestFit="1" customWidth="1"/>
  </cols>
  <sheetData>
    <row r="1" spans="1:7" ht="28.8" x14ac:dyDescent="0.3">
      <c r="A1" s="1" t="s">
        <v>0</v>
      </c>
      <c r="B1" s="1" t="s">
        <v>2</v>
      </c>
      <c r="C1" s="1" t="s">
        <v>1</v>
      </c>
      <c r="F1" s="2" t="s">
        <v>3</v>
      </c>
      <c r="G1" s="3">
        <f>CORREL(C2:C44,B2:B44)</f>
        <v>-0.60121608607177712</v>
      </c>
    </row>
    <row r="2" spans="1:7" x14ac:dyDescent="0.3">
      <c r="A2" s="3" t="s">
        <v>4</v>
      </c>
      <c r="B2" s="3">
        <v>26.1</v>
      </c>
      <c r="C2" s="3">
        <v>9</v>
      </c>
    </row>
    <row r="3" spans="1:7" x14ac:dyDescent="0.3">
      <c r="A3" s="3" t="s">
        <v>5</v>
      </c>
      <c r="B3" s="3">
        <v>24.7</v>
      </c>
      <c r="C3" s="3">
        <v>8</v>
      </c>
    </row>
    <row r="4" spans="1:7" x14ac:dyDescent="0.3">
      <c r="A4" s="3" t="s">
        <v>6</v>
      </c>
      <c r="B4" s="3">
        <v>25.4</v>
      </c>
      <c r="C4" s="3">
        <v>8</v>
      </c>
    </row>
    <row r="5" spans="1:7" x14ac:dyDescent="0.3">
      <c r="A5" s="3" t="s">
        <v>7</v>
      </c>
      <c r="B5" s="3">
        <v>20.6</v>
      </c>
      <c r="C5" s="3">
        <v>13</v>
      </c>
    </row>
    <row r="6" spans="1:7" x14ac:dyDescent="0.3">
      <c r="A6" s="3" t="s">
        <v>8</v>
      </c>
      <c r="B6" s="3">
        <v>18.3</v>
      </c>
      <c r="C6" s="3">
        <v>16</v>
      </c>
    </row>
    <row r="7" spans="1:7" x14ac:dyDescent="0.3">
      <c r="A7" s="3" t="s">
        <v>9</v>
      </c>
      <c r="B7" s="3">
        <v>16.3</v>
      </c>
      <c r="C7" s="3">
        <v>9</v>
      </c>
    </row>
    <row r="8" spans="1:7" x14ac:dyDescent="0.3">
      <c r="A8" s="3" t="s">
        <v>10</v>
      </c>
      <c r="B8" s="3">
        <v>15.5</v>
      </c>
      <c r="C8" s="3">
        <v>19</v>
      </c>
    </row>
    <row r="9" spans="1:7" x14ac:dyDescent="0.3">
      <c r="A9" s="3" t="s">
        <v>11</v>
      </c>
      <c r="B9" s="3">
        <v>16.7</v>
      </c>
      <c r="C9" s="3">
        <v>27</v>
      </c>
    </row>
    <row r="10" spans="1:7" x14ac:dyDescent="0.3">
      <c r="A10" s="3" t="s">
        <v>12</v>
      </c>
      <c r="B10" s="3">
        <v>18.3</v>
      </c>
      <c r="C10" s="3">
        <v>21</v>
      </c>
    </row>
    <row r="11" spans="1:7" x14ac:dyDescent="0.3">
      <c r="A11" s="3" t="s">
        <v>13</v>
      </c>
      <c r="B11" s="3">
        <v>19</v>
      </c>
      <c r="C11" s="3">
        <v>16</v>
      </c>
    </row>
    <row r="12" spans="1:7" x14ac:dyDescent="0.3">
      <c r="A12" s="3" t="s">
        <v>14</v>
      </c>
      <c r="B12" s="3">
        <v>21.2</v>
      </c>
      <c r="C12" s="3">
        <v>23</v>
      </c>
    </row>
    <row r="13" spans="1:7" x14ac:dyDescent="0.3">
      <c r="A13" s="3" t="s">
        <v>15</v>
      </c>
      <c r="B13" s="3">
        <v>24.5</v>
      </c>
      <c r="C13" s="3">
        <v>15</v>
      </c>
    </row>
    <row r="14" spans="1:7" x14ac:dyDescent="0.3">
      <c r="A14" s="3" t="s">
        <v>16</v>
      </c>
      <c r="B14" s="3">
        <v>24.3</v>
      </c>
      <c r="C14" s="3">
        <v>14</v>
      </c>
    </row>
    <row r="15" spans="1:7" x14ac:dyDescent="0.3">
      <c r="A15" s="3" t="s">
        <v>17</v>
      </c>
      <c r="B15" s="3">
        <v>25.9</v>
      </c>
      <c r="C15" s="3">
        <v>6</v>
      </c>
    </row>
    <row r="16" spans="1:7" x14ac:dyDescent="0.3">
      <c r="A16" s="3" t="s">
        <v>18</v>
      </c>
      <c r="B16" s="3">
        <v>24.5</v>
      </c>
      <c r="C16" s="3">
        <v>11</v>
      </c>
    </row>
    <row r="17" spans="1:3" x14ac:dyDescent="0.3">
      <c r="A17" s="3" t="s">
        <v>19</v>
      </c>
      <c r="B17" s="3">
        <v>21.6</v>
      </c>
      <c r="C17" s="3">
        <v>19</v>
      </c>
    </row>
    <row r="18" spans="1:3" x14ac:dyDescent="0.3">
      <c r="A18" s="3" t="s">
        <v>20</v>
      </c>
      <c r="B18" s="3">
        <v>16.7</v>
      </c>
      <c r="C18" s="3">
        <v>21</v>
      </c>
    </row>
    <row r="19" spans="1:3" x14ac:dyDescent="0.3">
      <c r="A19" s="3" t="s">
        <v>21</v>
      </c>
      <c r="B19" s="3">
        <v>17.399999999999999</v>
      </c>
      <c r="C19" s="3">
        <v>16</v>
      </c>
    </row>
    <row r="20" spans="1:3" x14ac:dyDescent="0.3">
      <c r="A20" s="3" t="s">
        <v>22</v>
      </c>
      <c r="B20" s="3">
        <v>13.7</v>
      </c>
      <c r="C20" s="3">
        <v>23</v>
      </c>
    </row>
    <row r="21" spans="1:3" x14ac:dyDescent="0.3">
      <c r="A21" s="3" t="s">
        <v>23</v>
      </c>
      <c r="B21" s="3">
        <v>15.6</v>
      </c>
      <c r="C21" s="3">
        <v>33</v>
      </c>
    </row>
    <row r="22" spans="1:3" x14ac:dyDescent="0.3">
      <c r="A22" s="3" t="s">
        <v>24</v>
      </c>
      <c r="B22" s="3">
        <v>18.7</v>
      </c>
      <c r="C22" s="3">
        <v>27</v>
      </c>
    </row>
    <row r="23" spans="1:3" x14ac:dyDescent="0.3">
      <c r="A23" s="3" t="s">
        <v>25</v>
      </c>
      <c r="B23" s="3">
        <v>20.6</v>
      </c>
      <c r="C23" s="3">
        <v>17</v>
      </c>
    </row>
    <row r="24" spans="1:3" x14ac:dyDescent="0.3">
      <c r="A24" s="3" t="s">
        <v>26</v>
      </c>
      <c r="B24" s="3">
        <v>23.1</v>
      </c>
      <c r="C24" s="3">
        <v>25</v>
      </c>
    </row>
    <row r="25" spans="1:3" x14ac:dyDescent="0.3">
      <c r="A25" s="3" t="s">
        <v>27</v>
      </c>
      <c r="B25" s="3">
        <v>22.4</v>
      </c>
      <c r="C25" s="3">
        <v>17</v>
      </c>
    </row>
    <row r="26" spans="1:3" x14ac:dyDescent="0.3">
      <c r="A26" s="3" t="s">
        <v>28</v>
      </c>
      <c r="B26" s="3">
        <v>25</v>
      </c>
      <c r="C26" s="3">
        <v>14</v>
      </c>
    </row>
    <row r="27" spans="1:3" x14ac:dyDescent="0.3">
      <c r="A27" s="3" t="s">
        <v>29</v>
      </c>
      <c r="B27" s="3">
        <v>26.6</v>
      </c>
      <c r="C27" s="3">
        <v>8</v>
      </c>
    </row>
    <row r="28" spans="1:3" x14ac:dyDescent="0.3">
      <c r="A28" s="3" t="s">
        <v>30</v>
      </c>
      <c r="B28" s="3">
        <v>25.2</v>
      </c>
      <c r="C28" s="3">
        <v>7</v>
      </c>
    </row>
    <row r="29" spans="1:3" x14ac:dyDescent="0.3">
      <c r="A29" s="3" t="s">
        <v>31</v>
      </c>
      <c r="B29" s="3">
        <v>20.2</v>
      </c>
      <c r="C29" s="3">
        <v>19</v>
      </c>
    </row>
    <row r="30" spans="1:3" x14ac:dyDescent="0.3">
      <c r="A30" s="3" t="s">
        <v>32</v>
      </c>
      <c r="B30" s="3">
        <v>17.600000000000001</v>
      </c>
      <c r="C30" s="3">
        <v>26</v>
      </c>
    </row>
    <row r="31" spans="1:3" x14ac:dyDescent="0.3">
      <c r="A31" s="3" t="s">
        <v>33</v>
      </c>
      <c r="B31" s="3">
        <v>13.3</v>
      </c>
      <c r="C31" s="3">
        <v>12</v>
      </c>
    </row>
    <row r="32" spans="1:3" x14ac:dyDescent="0.3">
      <c r="A32" s="3" t="s">
        <v>34</v>
      </c>
      <c r="B32" s="3">
        <v>13.1</v>
      </c>
      <c r="C32" s="3">
        <v>26</v>
      </c>
    </row>
    <row r="33" spans="1:3" x14ac:dyDescent="0.3">
      <c r="A33" s="3" t="s">
        <v>35</v>
      </c>
      <c r="B33" s="3">
        <v>15.5</v>
      </c>
      <c r="C33" s="3">
        <v>33</v>
      </c>
    </row>
    <row r="34" spans="1:3" x14ac:dyDescent="0.3">
      <c r="A34" s="3" t="s">
        <v>36</v>
      </c>
      <c r="B34" s="3">
        <v>17.7</v>
      </c>
      <c r="C34" s="3">
        <v>24</v>
      </c>
    </row>
    <row r="35" spans="1:3" x14ac:dyDescent="0.3">
      <c r="A35" s="3" t="s">
        <v>37</v>
      </c>
      <c r="B35" s="3">
        <v>19.899999999999999</v>
      </c>
      <c r="C35" s="3">
        <v>18</v>
      </c>
    </row>
    <row r="36" spans="1:3" x14ac:dyDescent="0.3">
      <c r="A36" s="3" t="s">
        <v>38</v>
      </c>
      <c r="B36" s="3">
        <v>21.4</v>
      </c>
      <c r="C36" s="3">
        <v>26</v>
      </c>
    </row>
    <row r="37" spans="1:3" x14ac:dyDescent="0.3">
      <c r="A37" s="3" t="s">
        <v>39</v>
      </c>
      <c r="B37" s="3">
        <v>24.9</v>
      </c>
      <c r="C37" s="3">
        <v>20</v>
      </c>
    </row>
    <row r="38" spans="1:3" x14ac:dyDescent="0.3">
      <c r="A38" s="3" t="s">
        <v>40</v>
      </c>
      <c r="B38" s="3">
        <v>25</v>
      </c>
      <c r="C38" s="3">
        <v>9</v>
      </c>
    </row>
    <row r="39" spans="1:3" x14ac:dyDescent="0.3">
      <c r="A39" s="3" t="s">
        <v>41</v>
      </c>
      <c r="B39" s="3">
        <v>25.1</v>
      </c>
      <c r="C39" s="3">
        <v>4</v>
      </c>
    </row>
    <row r="40" spans="1:3" x14ac:dyDescent="0.3">
      <c r="A40" s="3" t="s">
        <v>42</v>
      </c>
      <c r="B40" s="3">
        <v>24.8</v>
      </c>
      <c r="C40" s="3">
        <v>10</v>
      </c>
    </row>
    <row r="41" spans="1:3" x14ac:dyDescent="0.3">
      <c r="A41" s="3" t="s">
        <v>43</v>
      </c>
      <c r="B41" s="3">
        <v>21.8</v>
      </c>
      <c r="C41" s="3">
        <v>23</v>
      </c>
    </row>
    <row r="42" spans="1:3" x14ac:dyDescent="0.3">
      <c r="A42" s="3" t="s">
        <v>44</v>
      </c>
      <c r="B42" s="3">
        <v>16.100000000000001</v>
      </c>
      <c r="C42" s="3">
        <v>25</v>
      </c>
    </row>
    <row r="43" spans="1:3" x14ac:dyDescent="0.3">
      <c r="A43" s="3" t="s">
        <v>45</v>
      </c>
      <c r="B43" s="3">
        <v>13.7</v>
      </c>
      <c r="C43" s="3">
        <v>13</v>
      </c>
    </row>
    <row r="44" spans="1:3" x14ac:dyDescent="0.3">
      <c r="A44" s="3" t="s">
        <v>46</v>
      </c>
      <c r="B44" s="3">
        <v>14.5</v>
      </c>
      <c r="C44" s="3">
        <v>24</v>
      </c>
    </row>
    <row r="63" spans="1:14" x14ac:dyDescent="0.3">
      <c r="A63" s="4" t="s">
        <v>49</v>
      </c>
      <c r="B63" s="4" t="s">
        <v>50</v>
      </c>
    </row>
    <row r="64" spans="1:14" x14ac:dyDescent="0.3">
      <c r="A64" s="4" t="s">
        <v>47</v>
      </c>
      <c r="B64" s="7" t="s">
        <v>51</v>
      </c>
      <c r="C64" s="7" t="s">
        <v>52</v>
      </c>
      <c r="D64" s="7" t="s">
        <v>53</v>
      </c>
      <c r="E64" s="7" t="s">
        <v>54</v>
      </c>
      <c r="F64" s="7" t="s">
        <v>55</v>
      </c>
      <c r="G64" t="s">
        <v>48</v>
      </c>
      <c r="J64" t="s">
        <v>51</v>
      </c>
      <c r="K64" t="s">
        <v>52</v>
      </c>
      <c r="L64" t="s">
        <v>53</v>
      </c>
      <c r="M64" t="s">
        <v>54</v>
      </c>
      <c r="N64" t="s">
        <v>55</v>
      </c>
    </row>
    <row r="65" spans="1:15" x14ac:dyDescent="0.3">
      <c r="A65" s="5" t="s">
        <v>41</v>
      </c>
      <c r="B65" s="6"/>
      <c r="C65" s="6"/>
      <c r="D65" s="6"/>
      <c r="E65" s="6"/>
      <c r="F65" s="6">
        <v>4</v>
      </c>
      <c r="G65" s="6">
        <v>4</v>
      </c>
      <c r="J65" s="7">
        <f>SUM(B65:B107)</f>
        <v>183</v>
      </c>
      <c r="K65" s="7">
        <f t="shared" ref="K65:N65" si="0">SUM(C65:C107)</f>
        <v>228</v>
      </c>
      <c r="L65" s="7">
        <f t="shared" si="0"/>
        <v>158</v>
      </c>
      <c r="M65" s="7">
        <f t="shared" si="0"/>
        <v>143</v>
      </c>
      <c r="N65" s="7">
        <f t="shared" si="0"/>
        <v>42</v>
      </c>
      <c r="O65" s="8">
        <f>SUM(J65:N65)</f>
        <v>754</v>
      </c>
    </row>
    <row r="66" spans="1:15" x14ac:dyDescent="0.3">
      <c r="A66" s="5" t="s">
        <v>17</v>
      </c>
      <c r="B66" s="6"/>
      <c r="C66" s="6"/>
      <c r="D66" s="6"/>
      <c r="E66" s="6"/>
      <c r="F66" s="6">
        <v>6</v>
      </c>
      <c r="G66" s="6">
        <v>6</v>
      </c>
      <c r="J66" s="9">
        <f>J65/$O$65</f>
        <v>0.2427055702917772</v>
      </c>
      <c r="K66" s="9">
        <f t="shared" ref="K66:N66" si="1">K65/$O$65</f>
        <v>0.30238726790450926</v>
      </c>
      <c r="L66" s="9">
        <f t="shared" si="1"/>
        <v>0.20954907161803712</v>
      </c>
      <c r="M66" s="9">
        <f t="shared" si="1"/>
        <v>0.18965517241379309</v>
      </c>
      <c r="N66" s="9">
        <f t="shared" si="1"/>
        <v>5.5702917771883291E-2</v>
      </c>
    </row>
    <row r="67" spans="1:15" x14ac:dyDescent="0.3">
      <c r="A67" s="5" t="s">
        <v>30</v>
      </c>
      <c r="B67" s="6"/>
      <c r="C67" s="6"/>
      <c r="D67" s="6"/>
      <c r="E67" s="6"/>
      <c r="F67" s="6">
        <v>7</v>
      </c>
      <c r="G67" s="6">
        <v>7</v>
      </c>
    </row>
    <row r="68" spans="1:15" x14ac:dyDescent="0.3">
      <c r="A68" s="5" t="s">
        <v>6</v>
      </c>
      <c r="B68" s="6"/>
      <c r="C68" s="6"/>
      <c r="D68" s="6"/>
      <c r="E68" s="6"/>
      <c r="F68" s="6">
        <v>8</v>
      </c>
      <c r="G68" s="6">
        <v>8</v>
      </c>
    </row>
    <row r="69" spans="1:15" x14ac:dyDescent="0.3">
      <c r="A69" s="5" t="s">
        <v>29</v>
      </c>
      <c r="B69" s="6"/>
      <c r="C69" s="6"/>
      <c r="D69" s="6"/>
      <c r="E69" s="6"/>
      <c r="F69" s="6">
        <v>8</v>
      </c>
      <c r="G69" s="6">
        <v>8</v>
      </c>
    </row>
    <row r="70" spans="1:15" x14ac:dyDescent="0.3">
      <c r="A70" s="5" t="s">
        <v>5</v>
      </c>
      <c r="B70" s="6"/>
      <c r="C70" s="6"/>
      <c r="D70" s="6"/>
      <c r="E70" s="6">
        <v>8</v>
      </c>
      <c r="F70" s="6"/>
      <c r="G70" s="6">
        <v>8</v>
      </c>
    </row>
    <row r="71" spans="1:15" x14ac:dyDescent="0.3">
      <c r="A71" s="5" t="s">
        <v>4</v>
      </c>
      <c r="B71" s="6"/>
      <c r="C71" s="6"/>
      <c r="D71" s="6"/>
      <c r="E71" s="6"/>
      <c r="F71" s="6">
        <v>9</v>
      </c>
      <c r="G71" s="6">
        <v>9</v>
      </c>
    </row>
    <row r="72" spans="1:15" x14ac:dyDescent="0.3">
      <c r="A72" s="5" t="s">
        <v>40</v>
      </c>
      <c r="B72" s="6"/>
      <c r="C72" s="6"/>
      <c r="D72" s="6"/>
      <c r="E72" s="6">
        <v>9</v>
      </c>
      <c r="F72" s="6"/>
      <c r="G72" s="6">
        <v>9</v>
      </c>
    </row>
    <row r="73" spans="1:15" x14ac:dyDescent="0.3">
      <c r="A73" s="5" t="s">
        <v>9</v>
      </c>
      <c r="B73" s="6"/>
      <c r="C73" s="6">
        <v>9</v>
      </c>
      <c r="D73" s="6"/>
      <c r="E73" s="6"/>
      <c r="F73" s="6"/>
      <c r="G73" s="6">
        <v>9</v>
      </c>
    </row>
    <row r="74" spans="1:15" x14ac:dyDescent="0.3">
      <c r="A74" s="5" t="s">
        <v>42</v>
      </c>
      <c r="B74" s="6"/>
      <c r="C74" s="6"/>
      <c r="D74" s="6"/>
      <c r="E74" s="6">
        <v>10</v>
      </c>
      <c r="F74" s="6"/>
      <c r="G74" s="6">
        <v>10</v>
      </c>
    </row>
    <row r="75" spans="1:15" x14ac:dyDescent="0.3">
      <c r="A75" s="5" t="s">
        <v>18</v>
      </c>
      <c r="B75" s="6"/>
      <c r="C75" s="6"/>
      <c r="D75" s="6"/>
      <c r="E75" s="6">
        <v>11</v>
      </c>
      <c r="F75" s="6"/>
      <c r="G75" s="6">
        <v>11</v>
      </c>
    </row>
    <row r="76" spans="1:15" x14ac:dyDescent="0.3">
      <c r="A76" s="5" t="s">
        <v>33</v>
      </c>
      <c r="B76" s="6">
        <v>12</v>
      </c>
      <c r="C76" s="6"/>
      <c r="D76" s="6"/>
      <c r="E76" s="6"/>
      <c r="F76" s="6"/>
      <c r="G76" s="6">
        <v>12</v>
      </c>
    </row>
    <row r="77" spans="1:15" x14ac:dyDescent="0.3">
      <c r="A77" s="5" t="s">
        <v>7</v>
      </c>
      <c r="B77" s="6"/>
      <c r="C77" s="6"/>
      <c r="D77" s="6">
        <v>13</v>
      </c>
      <c r="E77" s="6"/>
      <c r="F77" s="6"/>
      <c r="G77" s="6">
        <v>13</v>
      </c>
    </row>
    <row r="78" spans="1:15" x14ac:dyDescent="0.3">
      <c r="A78" s="5" t="s">
        <v>45</v>
      </c>
      <c r="B78" s="6">
        <v>13</v>
      </c>
      <c r="C78" s="6"/>
      <c r="D78" s="6"/>
      <c r="E78" s="6"/>
      <c r="F78" s="6"/>
      <c r="G78" s="6">
        <v>13</v>
      </c>
    </row>
    <row r="79" spans="1:15" x14ac:dyDescent="0.3">
      <c r="A79" s="5" t="s">
        <v>28</v>
      </c>
      <c r="B79" s="6"/>
      <c r="C79" s="6"/>
      <c r="D79" s="6"/>
      <c r="E79" s="6">
        <v>14</v>
      </c>
      <c r="F79" s="6"/>
      <c r="G79" s="6">
        <v>14</v>
      </c>
    </row>
    <row r="80" spans="1:15" x14ac:dyDescent="0.3">
      <c r="A80" s="5" t="s">
        <v>16</v>
      </c>
      <c r="B80" s="6"/>
      <c r="C80" s="6"/>
      <c r="D80" s="6"/>
      <c r="E80" s="6">
        <v>14</v>
      </c>
      <c r="F80" s="6"/>
      <c r="G80" s="6">
        <v>14</v>
      </c>
    </row>
    <row r="81" spans="1:7" x14ac:dyDescent="0.3">
      <c r="A81" s="5" t="s">
        <v>15</v>
      </c>
      <c r="B81" s="6"/>
      <c r="C81" s="6"/>
      <c r="D81" s="6"/>
      <c r="E81" s="6">
        <v>15</v>
      </c>
      <c r="F81" s="6"/>
      <c r="G81" s="6">
        <v>15</v>
      </c>
    </row>
    <row r="82" spans="1:7" x14ac:dyDescent="0.3">
      <c r="A82" s="5" t="s">
        <v>13</v>
      </c>
      <c r="B82" s="6"/>
      <c r="C82" s="6">
        <v>16</v>
      </c>
      <c r="D82" s="6"/>
      <c r="E82" s="6"/>
      <c r="F82" s="6"/>
      <c r="G82" s="6">
        <v>16</v>
      </c>
    </row>
    <row r="83" spans="1:7" x14ac:dyDescent="0.3">
      <c r="A83" s="5" t="s">
        <v>21</v>
      </c>
      <c r="B83" s="6"/>
      <c r="C83" s="6">
        <v>16</v>
      </c>
      <c r="D83" s="6"/>
      <c r="E83" s="6"/>
      <c r="F83" s="6"/>
      <c r="G83" s="6">
        <v>16</v>
      </c>
    </row>
    <row r="84" spans="1:7" x14ac:dyDescent="0.3">
      <c r="A84" s="5" t="s">
        <v>8</v>
      </c>
      <c r="B84" s="6"/>
      <c r="C84" s="6">
        <v>16</v>
      </c>
      <c r="D84" s="6"/>
      <c r="E84" s="6"/>
      <c r="F84" s="6"/>
      <c r="G84" s="6">
        <v>16</v>
      </c>
    </row>
    <row r="85" spans="1:7" x14ac:dyDescent="0.3">
      <c r="A85" s="5" t="s">
        <v>25</v>
      </c>
      <c r="B85" s="6"/>
      <c r="C85" s="6"/>
      <c r="D85" s="6">
        <v>17</v>
      </c>
      <c r="E85" s="6"/>
      <c r="F85" s="6"/>
      <c r="G85" s="6">
        <v>17</v>
      </c>
    </row>
    <row r="86" spans="1:7" x14ac:dyDescent="0.3">
      <c r="A86" s="5" t="s">
        <v>27</v>
      </c>
      <c r="B86" s="6"/>
      <c r="C86" s="6"/>
      <c r="D86" s="6"/>
      <c r="E86" s="6">
        <v>17</v>
      </c>
      <c r="F86" s="6"/>
      <c r="G86" s="6">
        <v>17</v>
      </c>
    </row>
    <row r="87" spans="1:7" x14ac:dyDescent="0.3">
      <c r="A87" s="5" t="s">
        <v>37</v>
      </c>
      <c r="B87" s="6"/>
      <c r="C87" s="6"/>
      <c r="D87" s="6">
        <v>18</v>
      </c>
      <c r="E87" s="6"/>
      <c r="F87" s="6"/>
      <c r="G87" s="6">
        <v>18</v>
      </c>
    </row>
    <row r="88" spans="1:7" x14ac:dyDescent="0.3">
      <c r="A88" s="5" t="s">
        <v>10</v>
      </c>
      <c r="B88" s="6">
        <v>19</v>
      </c>
      <c r="C88" s="6"/>
      <c r="D88" s="6"/>
      <c r="E88" s="6"/>
      <c r="F88" s="6"/>
      <c r="G88" s="6">
        <v>19</v>
      </c>
    </row>
    <row r="89" spans="1:7" x14ac:dyDescent="0.3">
      <c r="A89" s="5" t="s">
        <v>31</v>
      </c>
      <c r="B89" s="6"/>
      <c r="C89" s="6"/>
      <c r="D89" s="6">
        <v>19</v>
      </c>
      <c r="E89" s="6"/>
      <c r="F89" s="6"/>
      <c r="G89" s="6">
        <v>19</v>
      </c>
    </row>
    <row r="90" spans="1:7" x14ac:dyDescent="0.3">
      <c r="A90" s="5" t="s">
        <v>19</v>
      </c>
      <c r="B90" s="6"/>
      <c r="C90" s="6"/>
      <c r="D90" s="6">
        <v>19</v>
      </c>
      <c r="E90" s="6"/>
      <c r="F90" s="6"/>
      <c r="G90" s="6">
        <v>19</v>
      </c>
    </row>
    <row r="91" spans="1:7" x14ac:dyDescent="0.3">
      <c r="A91" s="5" t="s">
        <v>39</v>
      </c>
      <c r="B91" s="6"/>
      <c r="C91" s="6"/>
      <c r="D91" s="6"/>
      <c r="E91" s="6">
        <v>20</v>
      </c>
      <c r="F91" s="6"/>
      <c r="G91" s="6">
        <v>20</v>
      </c>
    </row>
    <row r="92" spans="1:7" x14ac:dyDescent="0.3">
      <c r="A92" s="5" t="s">
        <v>20</v>
      </c>
      <c r="B92" s="6"/>
      <c r="C92" s="6">
        <v>21</v>
      </c>
      <c r="D92" s="6"/>
      <c r="E92" s="6"/>
      <c r="F92" s="6"/>
      <c r="G92" s="6">
        <v>21</v>
      </c>
    </row>
    <row r="93" spans="1:7" x14ac:dyDescent="0.3">
      <c r="A93" s="5" t="s">
        <v>12</v>
      </c>
      <c r="B93" s="6"/>
      <c r="C93" s="6">
        <v>21</v>
      </c>
      <c r="D93" s="6"/>
      <c r="E93" s="6"/>
      <c r="F93" s="6"/>
      <c r="G93" s="6">
        <v>21</v>
      </c>
    </row>
    <row r="94" spans="1:7" x14ac:dyDescent="0.3">
      <c r="A94" s="5" t="s">
        <v>14</v>
      </c>
      <c r="B94" s="6"/>
      <c r="C94" s="6"/>
      <c r="D94" s="6">
        <v>23</v>
      </c>
      <c r="E94" s="6"/>
      <c r="F94" s="6"/>
      <c r="G94" s="6">
        <v>23</v>
      </c>
    </row>
    <row r="95" spans="1:7" x14ac:dyDescent="0.3">
      <c r="A95" s="5" t="s">
        <v>43</v>
      </c>
      <c r="B95" s="6"/>
      <c r="C95" s="6"/>
      <c r="D95" s="6">
        <v>23</v>
      </c>
      <c r="E95" s="6"/>
      <c r="F95" s="6"/>
      <c r="G95" s="6">
        <v>23</v>
      </c>
    </row>
    <row r="96" spans="1:7" x14ac:dyDescent="0.3">
      <c r="A96" s="5" t="s">
        <v>22</v>
      </c>
      <c r="B96" s="6">
        <v>23</v>
      </c>
      <c r="C96" s="6"/>
      <c r="D96" s="6"/>
      <c r="E96" s="6"/>
      <c r="F96" s="6"/>
      <c r="G96" s="6">
        <v>23</v>
      </c>
    </row>
    <row r="97" spans="1:7" x14ac:dyDescent="0.3">
      <c r="A97" s="5" t="s">
        <v>36</v>
      </c>
      <c r="B97" s="6"/>
      <c r="C97" s="6">
        <v>24</v>
      </c>
      <c r="D97" s="6"/>
      <c r="E97" s="6"/>
      <c r="F97" s="6"/>
      <c r="G97" s="6">
        <v>24</v>
      </c>
    </row>
    <row r="98" spans="1:7" x14ac:dyDescent="0.3">
      <c r="A98" s="5" t="s">
        <v>46</v>
      </c>
      <c r="B98" s="6">
        <v>24</v>
      </c>
      <c r="C98" s="6"/>
      <c r="D98" s="6"/>
      <c r="E98" s="6"/>
      <c r="F98" s="6"/>
      <c r="G98" s="6">
        <v>24</v>
      </c>
    </row>
    <row r="99" spans="1:7" x14ac:dyDescent="0.3">
      <c r="A99" s="5" t="s">
        <v>44</v>
      </c>
      <c r="B99" s="6"/>
      <c r="C99" s="6">
        <v>25</v>
      </c>
      <c r="D99" s="6"/>
      <c r="E99" s="6"/>
      <c r="F99" s="6"/>
      <c r="G99" s="6">
        <v>25</v>
      </c>
    </row>
    <row r="100" spans="1:7" x14ac:dyDescent="0.3">
      <c r="A100" s="5" t="s">
        <v>26</v>
      </c>
      <c r="B100" s="6"/>
      <c r="C100" s="6"/>
      <c r="D100" s="6"/>
      <c r="E100" s="6">
        <v>25</v>
      </c>
      <c r="F100" s="6"/>
      <c r="G100" s="6">
        <v>25</v>
      </c>
    </row>
    <row r="101" spans="1:7" x14ac:dyDescent="0.3">
      <c r="A101" s="5" t="s">
        <v>34</v>
      </c>
      <c r="B101" s="6">
        <v>26</v>
      </c>
      <c r="C101" s="6"/>
      <c r="D101" s="6"/>
      <c r="E101" s="6"/>
      <c r="F101" s="6"/>
      <c r="G101" s="6">
        <v>26</v>
      </c>
    </row>
    <row r="102" spans="1:7" x14ac:dyDescent="0.3">
      <c r="A102" s="5" t="s">
        <v>32</v>
      </c>
      <c r="B102" s="6"/>
      <c r="C102" s="6">
        <v>26</v>
      </c>
      <c r="D102" s="6"/>
      <c r="E102" s="6"/>
      <c r="F102" s="6"/>
      <c r="G102" s="6">
        <v>26</v>
      </c>
    </row>
    <row r="103" spans="1:7" x14ac:dyDescent="0.3">
      <c r="A103" s="5" t="s">
        <v>38</v>
      </c>
      <c r="B103" s="6"/>
      <c r="C103" s="6"/>
      <c r="D103" s="6">
        <v>26</v>
      </c>
      <c r="E103" s="6"/>
      <c r="F103" s="6"/>
      <c r="G103" s="6">
        <v>26</v>
      </c>
    </row>
    <row r="104" spans="1:7" x14ac:dyDescent="0.3">
      <c r="A104" s="5" t="s">
        <v>11</v>
      </c>
      <c r="B104" s="6"/>
      <c r="C104" s="6">
        <v>27</v>
      </c>
      <c r="D104" s="6"/>
      <c r="E104" s="6"/>
      <c r="F104" s="6"/>
      <c r="G104" s="6">
        <v>27</v>
      </c>
    </row>
    <row r="105" spans="1:7" x14ac:dyDescent="0.3">
      <c r="A105" s="5" t="s">
        <v>24</v>
      </c>
      <c r="B105" s="6"/>
      <c r="C105" s="6">
        <v>27</v>
      </c>
      <c r="D105" s="6"/>
      <c r="E105" s="6"/>
      <c r="F105" s="6"/>
      <c r="G105" s="6">
        <v>27</v>
      </c>
    </row>
    <row r="106" spans="1:7" x14ac:dyDescent="0.3">
      <c r="A106" s="5" t="s">
        <v>35</v>
      </c>
      <c r="B106" s="6">
        <v>33</v>
      </c>
      <c r="C106" s="6"/>
      <c r="D106" s="6"/>
      <c r="E106" s="6"/>
      <c r="F106" s="6"/>
      <c r="G106" s="6">
        <v>33</v>
      </c>
    </row>
    <row r="107" spans="1:7" x14ac:dyDescent="0.3">
      <c r="A107" s="5" t="s">
        <v>23</v>
      </c>
      <c r="B107" s="6">
        <v>33</v>
      </c>
      <c r="C107" s="6"/>
      <c r="D107" s="6"/>
      <c r="E107" s="6"/>
      <c r="F107" s="6"/>
      <c r="G107" s="6">
        <v>33</v>
      </c>
    </row>
    <row r="108" spans="1:7" x14ac:dyDescent="0.3">
      <c r="A108" s="5" t="s">
        <v>48</v>
      </c>
      <c r="B108" s="6">
        <v>183</v>
      </c>
      <c r="C108" s="6">
        <v>228</v>
      </c>
      <c r="D108" s="6">
        <v>158</v>
      </c>
      <c r="E108" s="6">
        <v>143</v>
      </c>
      <c r="F108" s="6">
        <v>42</v>
      </c>
      <c r="G108" s="6">
        <v>754</v>
      </c>
    </row>
  </sheetData>
  <conditionalFormatting pivot="1" sqref="G65:G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Dispersão Piso x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 Garcia</cp:lastModifiedBy>
  <cp:revision>1</cp:revision>
  <dcterms:created xsi:type="dcterms:W3CDTF">2026-09-08T18:44:00Z</dcterms:created>
  <dcterms:modified xsi:type="dcterms:W3CDTF">2026-09-14T02:01:17Z</dcterms:modified>
  <dc:language>en-US</dc:language>
</cp:coreProperties>
</file>